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b5cd2f6fdac94d9/PC Matthieu/ESILV/A4/S7_IF3/Drive_Matthieu/TRACK FINANCE ^0 ASSURANCE/VBA/Project_P4_VBA_HANNA GERGUIS Matthieu/"/>
    </mc:Choice>
  </mc:AlternateContent>
  <xr:revisionPtr revIDLastSave="1102" documentId="8_{7CA0CABE-F113-4DB6-8513-06CCA26B2F53}" xr6:coauthVersionLast="47" xr6:coauthVersionMax="47" xr10:uidLastSave="{EFC747DC-793F-49C6-BBD0-6F58A4ECAEE3}"/>
  <bookViews>
    <workbookView xWindow="-96" yWindow="0" windowWidth="11712" windowHeight="13056" activeTab="1" xr2:uid="{6229A008-1198-4BCF-A9AE-04A3E3131577}"/>
  </bookViews>
  <sheets>
    <sheet name="Inputs" sheetId="1" r:id="rId1"/>
    <sheet name="Curve" sheetId="6" r:id="rId2"/>
  </sheets>
  <definedNames>
    <definedName name="_xlpm.df" hidden="1" xlm="1">#NAME?</definedName>
    <definedName name="_xlpm.pos" hidden="1" xlm="1">#NAME?</definedName>
    <definedName name="_xlpm.t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6" l="1" a="1"/>
  <c r="N4" i="6" s="1"/>
  <c r="N3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B34" i="1"/>
  <c r="B28" i="1"/>
  <c r="B29" i="1"/>
  <c r="B30" i="1"/>
  <c r="B31" i="1"/>
  <c r="B32" i="1"/>
  <c r="B33" i="1"/>
  <c r="B35" i="1"/>
  <c r="B36" i="1"/>
  <c r="B37" i="1"/>
  <c r="B38" i="1"/>
  <c r="B39" i="1"/>
  <c r="B40" i="1"/>
  <c r="B41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O8" i="6"/>
  <c r="O9" i="6" s="1"/>
  <c r="O10" i="6" s="1"/>
  <c r="D7" i="6"/>
  <c r="B7" i="6"/>
  <c r="A7" i="6"/>
  <c r="J7" i="6" s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L16" i="1"/>
  <c r="H16" i="6" s="1"/>
  <c r="L17" i="1"/>
  <c r="H17" i="6" s="1"/>
  <c r="L18" i="1"/>
  <c r="H18" i="6" s="1"/>
  <c r="L19" i="1"/>
  <c r="H19" i="6" s="1"/>
  <c r="L20" i="1"/>
  <c r="H20" i="6" s="1"/>
  <c r="H7" i="1"/>
  <c r="E7" i="6" s="1"/>
  <c r="H8" i="1"/>
  <c r="E8" i="6" s="1"/>
  <c r="H9" i="1"/>
  <c r="E9" i="6" s="1"/>
  <c r="H16" i="1"/>
  <c r="E16" i="6" s="1"/>
  <c r="H17" i="1"/>
  <c r="E17" i="6" s="1"/>
  <c r="H18" i="1"/>
  <c r="E18" i="6" s="1"/>
  <c r="H19" i="1"/>
  <c r="E19" i="6" s="1"/>
  <c r="H20" i="1"/>
  <c r="E20" i="6" s="1"/>
  <c r="G7" i="1"/>
  <c r="I7" i="1" s="1"/>
  <c r="F7" i="6" s="1"/>
  <c r="G8" i="1"/>
  <c r="I8" i="1" s="1"/>
  <c r="F8" i="6" s="1"/>
  <c r="G9" i="1"/>
  <c r="I9" i="1" s="1"/>
  <c r="F9" i="6" s="1"/>
  <c r="G10" i="1"/>
  <c r="M10" i="1" s="1"/>
  <c r="I10" i="6" s="1"/>
  <c r="G11" i="1"/>
  <c r="M11" i="1" s="1"/>
  <c r="I11" i="6" s="1"/>
  <c r="G12" i="1"/>
  <c r="M12" i="1" s="1"/>
  <c r="I12" i="6" s="1"/>
  <c r="G13" i="1"/>
  <c r="M13" i="1" s="1"/>
  <c r="I13" i="6" s="1"/>
  <c r="G14" i="1"/>
  <c r="M14" i="1" s="1"/>
  <c r="I14" i="6" s="1"/>
  <c r="G15" i="1"/>
  <c r="M15" i="1" s="1"/>
  <c r="I15" i="6" s="1"/>
  <c r="G16" i="1"/>
  <c r="I16" i="1" s="1"/>
  <c r="F16" i="6" s="1"/>
  <c r="G17" i="1"/>
  <c r="I17" i="1" s="1"/>
  <c r="F17" i="6" s="1"/>
  <c r="G18" i="1"/>
  <c r="I18" i="1" s="1"/>
  <c r="F18" i="6" s="1"/>
  <c r="G19" i="1"/>
  <c r="I19" i="1" s="1"/>
  <c r="F19" i="6" s="1"/>
  <c r="G20" i="1"/>
  <c r="I20" i="1" s="1"/>
  <c r="F20" i="6" s="1"/>
  <c r="M40" i="1" l="1"/>
  <c r="M41" i="1"/>
  <c r="M7" i="6"/>
  <c r="O11" i="6"/>
  <c r="K9" i="1"/>
  <c r="G9" i="6" s="1"/>
  <c r="K9" i="6" s="1"/>
  <c r="J8" i="1"/>
  <c r="L8" i="1" s="1"/>
  <c r="H8" i="6" s="1"/>
  <c r="J7" i="1"/>
  <c r="K8" i="1"/>
  <c r="G8" i="6" s="1"/>
  <c r="K8" i="6" s="1"/>
  <c r="K20" i="1"/>
  <c r="G20" i="6" s="1"/>
  <c r="K19" i="1"/>
  <c r="G19" i="6" s="1"/>
  <c r="K7" i="1"/>
  <c r="G7" i="6" s="1"/>
  <c r="K7" i="6" s="1"/>
  <c r="K17" i="1"/>
  <c r="G17" i="6" s="1"/>
  <c r="K18" i="1"/>
  <c r="G18" i="6" s="1"/>
  <c r="K16" i="1"/>
  <c r="G16" i="6" s="1"/>
  <c r="M16" i="1"/>
  <c r="I16" i="6" s="1"/>
  <c r="M18" i="1"/>
  <c r="I18" i="6" s="1"/>
  <c r="M19" i="1"/>
  <c r="I19" i="6" s="1"/>
  <c r="M17" i="1"/>
  <c r="I17" i="6" s="1"/>
  <c r="M20" i="1"/>
  <c r="I20" i="6" s="1"/>
  <c r="M9" i="1"/>
  <c r="I9" i="6" s="1"/>
  <c r="M8" i="1"/>
  <c r="I8" i="6" s="1"/>
  <c r="M7" i="1"/>
  <c r="I7" i="6" s="1"/>
  <c r="H10" i="1"/>
  <c r="J9" i="1"/>
  <c r="L9" i="1" s="1"/>
  <c r="H9" i="6" s="1"/>
  <c r="J20" i="1"/>
  <c r="J19" i="1"/>
  <c r="J18" i="1"/>
  <c r="J17" i="1"/>
  <c r="M38" i="1" s="1"/>
  <c r="J16" i="1"/>
  <c r="M37" i="1" s="1"/>
  <c r="L8" i="6" l="1"/>
  <c r="N29" i="6"/>
  <c r="M29" i="6"/>
  <c r="L7" i="6"/>
  <c r="N28" i="6" s="1"/>
  <c r="M28" i="6"/>
  <c r="L9" i="6"/>
  <c r="N30" i="6" s="1"/>
  <c r="M30" i="6"/>
  <c r="M29" i="1"/>
  <c r="M39" i="1"/>
  <c r="L7" i="1"/>
  <c r="H7" i="6" s="1"/>
  <c r="M28" i="1"/>
  <c r="M30" i="1"/>
  <c r="O12" i="6"/>
  <c r="I10" i="1"/>
  <c r="E10" i="6"/>
  <c r="F10" i="6" l="1"/>
  <c r="J10" i="1"/>
  <c r="L10" i="1" s="1"/>
  <c r="H10" i="6" s="1"/>
  <c r="K10" i="1"/>
  <c r="G10" i="6" s="1"/>
  <c r="K10" i="6" s="1"/>
  <c r="H11" i="1"/>
  <c r="O13" i="6"/>
  <c r="L10" i="6" l="1"/>
  <c r="M31" i="6"/>
  <c r="N31" i="6"/>
  <c r="I11" i="1"/>
  <c r="H12" i="1" s="1"/>
  <c r="M31" i="1"/>
  <c r="E11" i="6"/>
  <c r="K11" i="1"/>
  <c r="G11" i="6" s="1"/>
  <c r="K11" i="6" s="1"/>
  <c r="O14" i="6"/>
  <c r="J11" i="1"/>
  <c r="L11" i="1" s="1"/>
  <c r="H11" i="6" s="1"/>
  <c r="F11" i="6"/>
  <c r="I12" i="1"/>
  <c r="M32" i="6" l="1"/>
  <c r="P7" i="6"/>
  <c r="L11" i="6"/>
  <c r="N32" i="6" s="1"/>
  <c r="M32" i="1"/>
  <c r="E12" i="6"/>
  <c r="O15" i="6"/>
  <c r="J12" i="1"/>
  <c r="L12" i="1" s="1"/>
  <c r="H12" i="6" s="1"/>
  <c r="F12" i="6"/>
  <c r="H13" i="1"/>
  <c r="K12" i="1"/>
  <c r="G12" i="6" s="1"/>
  <c r="K12" i="6" s="1"/>
  <c r="L12" i="6" l="1"/>
  <c r="M33" i="6"/>
  <c r="N33" i="6"/>
  <c r="E13" i="6"/>
  <c r="M33" i="1"/>
  <c r="O16" i="6"/>
  <c r="I13" i="1"/>
  <c r="O17" i="6" l="1"/>
  <c r="O18" i="6" s="1"/>
  <c r="O19" i="6" s="1"/>
  <c r="O20" i="6" s="1"/>
  <c r="O21" i="6" s="1"/>
  <c r="O22" i="6" s="1"/>
  <c r="O23" i="6" s="1"/>
  <c r="O24" i="6" s="1"/>
  <c r="J13" i="1"/>
  <c r="L13" i="1" s="1"/>
  <c r="H13" i="6" s="1"/>
  <c r="F13" i="6"/>
  <c r="H14" i="1"/>
  <c r="K13" i="1"/>
  <c r="G13" i="6" s="1"/>
  <c r="K13" i="6" s="1"/>
  <c r="L13" i="6" l="1"/>
  <c r="M34" i="6"/>
  <c r="N34" i="6"/>
  <c r="E14" i="6"/>
  <c r="M34" i="1"/>
  <c r="I14" i="1"/>
  <c r="J14" i="1" l="1"/>
  <c r="L14" i="1" s="1"/>
  <c r="H14" i="6" s="1"/>
  <c r="F14" i="6"/>
  <c r="H15" i="1"/>
  <c r="K14" i="1"/>
  <c r="G14" i="6" s="1"/>
  <c r="K14" i="6" s="1"/>
  <c r="L14" i="6" l="1"/>
  <c r="N35" i="6"/>
  <c r="M35" i="6"/>
  <c r="E15" i="6"/>
  <c r="M35" i="1"/>
  <c r="I15" i="1"/>
  <c r="K15" i="1" l="1"/>
  <c r="G15" i="6" s="1"/>
  <c r="K15" i="6" s="1"/>
  <c r="F15" i="6"/>
  <c r="J15" i="1"/>
  <c r="L15" i="1" s="1"/>
  <c r="H15" i="6" s="1"/>
  <c r="M36" i="6" l="1"/>
  <c r="P8" i="6"/>
  <c r="L15" i="6"/>
  <c r="N36" i="6" s="1"/>
  <c r="M36" i="1"/>
  <c r="K16" i="6"/>
  <c r="M37" i="6" l="1"/>
  <c r="P9" i="6"/>
  <c r="L16" i="6"/>
  <c r="N37" i="6" s="1"/>
  <c r="K17" i="6"/>
  <c r="M38" i="6" l="1"/>
  <c r="P10" i="6"/>
  <c r="L17" i="6"/>
  <c r="N38" i="6" s="1"/>
  <c r="K18" i="6"/>
  <c r="L18" i="6" l="1"/>
  <c r="N39" i="6"/>
  <c r="M39" i="6"/>
  <c r="P11" i="6"/>
  <c r="P12" i="6"/>
  <c r="K19" i="6" s="1"/>
  <c r="L19" i="6" l="1"/>
  <c r="M40" i="6"/>
  <c r="N40" i="6"/>
  <c r="P14" i="6"/>
  <c r="P13" i="6"/>
  <c r="P15" i="6"/>
  <c r="K20" i="6" s="1"/>
  <c r="M41" i="6" l="1"/>
  <c r="L20" i="6"/>
  <c r="N41" i="6" s="1"/>
  <c r="P23" i="6"/>
  <c r="P19" i="6"/>
  <c r="P24" i="6"/>
  <c r="P16" i="6"/>
  <c r="P21" i="6"/>
  <c r="P17" i="6"/>
  <c r="P20" i="6"/>
  <c r="P18" i="6"/>
  <c r="P2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<sst xmlns="http://schemas.openxmlformats.org/spreadsheetml/2006/main" count="181" uniqueCount="86">
  <si>
    <t>4. Simple Swap Curve, Cash, Futures, Swap Bootstrapping (VBA + Excel)</t>
  </si>
  <si>
    <t>Valuation Date</t>
  </si>
  <si>
    <t>Notes</t>
  </si>
  <si>
    <t>DayCount</t>
  </si>
  <si>
    <t>BasisCode</t>
  </si>
  <si>
    <t>ACT/360</t>
  </si>
  <si>
    <t>30/360</t>
  </si>
  <si>
    <t>ACT/365</t>
  </si>
  <si>
    <t>Type</t>
  </si>
  <si>
    <t>Tenor</t>
  </si>
  <si>
    <t>Quote</t>
  </si>
  <si>
    <t>FixedFreq</t>
  </si>
  <si>
    <t>TenorMonths</t>
  </si>
  <si>
    <t>StartDate</t>
  </si>
  <si>
    <t>EndDate</t>
  </si>
  <si>
    <t>T (years)</t>
  </si>
  <si>
    <t>CASH</t>
  </si>
  <si>
    <t>1M</t>
  </si>
  <si>
    <t>3M</t>
  </si>
  <si>
    <t>6M</t>
  </si>
  <si>
    <t>FUT</t>
  </si>
  <si>
    <t>9M</t>
  </si>
  <si>
    <t>12M</t>
  </si>
  <si>
    <t>15M</t>
  </si>
  <si>
    <t>18M</t>
  </si>
  <si>
    <t>21M</t>
  </si>
  <si>
    <t>24M</t>
  </si>
  <si>
    <t>SWAP</t>
  </si>
  <si>
    <t>3Y</t>
  </si>
  <si>
    <t>4Y</t>
  </si>
  <si>
    <t>5Y</t>
  </si>
  <si>
    <t>7Y</t>
  </si>
  <si>
    <t>10Y</t>
  </si>
  <si>
    <t>Coupon α</t>
  </si>
  <si>
    <t>Accrual τ (YearFrac)</t>
  </si>
  <si>
    <t>Accrual τ (manual)</t>
  </si>
  <si>
    <t>'Type ∈ {CASH; FUT; SWAP}</t>
  </si>
  <si>
    <t>The quotes used in this case study are illustrative (invented) values, constructed to be internally consistent and realistic for the exercise.</t>
  </si>
  <si>
    <t>'Tenor ∈ {1M;3M;…;10Y}</t>
  </si>
  <si>
    <t>'CASH: r (%) ; FUT: P ; SWAP: S (%)</t>
  </si>
  <si>
    <t>'Day count: ACT/360; 30/360; ACT/365</t>
  </si>
  <si>
    <t>'BasisCode ∈ {0;2;3}</t>
  </si>
  <si>
    <t>'Fixed leg freq: m (annual=1)</t>
  </si>
  <si>
    <t>'TenorMonths = IF(Y) 12·n ELSE n</t>
  </si>
  <si>
    <t>'Start: t0 (or t_{i-1} for FUT)</t>
  </si>
  <si>
    <t>'End: t0+Tenor (FUT: +3M)</t>
  </si>
  <si>
    <t>'τ_i = DayCountFrac(t_{i-1},t_i)</t>
  </si>
  <si>
    <t>'τ_i(manual) = { (t_i−t_{i-1})/360 ; DAYS360/360 ; (t_i−t_{i-1})/365 }</t>
  </si>
  <si>
    <t>'α_i = {1 if SWAP &amp; annual ; else τ_i}</t>
  </si>
  <si>
    <t>'T = YearFrac(t0,t_i)  (or TenorMonths/12)</t>
  </si>
  <si>
    <t>'Zero(cc): z(T)=−ln(DF)/T</t>
  </si>
  <si>
    <t>'Type ∈ {CASH;FUT;SWAP}</t>
  </si>
  <si>
    <t>'Tenor ∈ {1M;…;10Y}</t>
  </si>
  <si>
    <t>'Quote: CASH r(%); FUT P; SWAP S(%)</t>
  </si>
  <si>
    <t>'DayCount ∈ {ACT/360;30/360;ACT/365}</t>
  </si>
  <si>
    <t>'Start: t_{i-1} (FUT: prev End)</t>
  </si>
  <si>
    <t>'End: t_i</t>
  </si>
  <si>
    <t>'τ_i(manual)= { (t_i−t_{i-1})/360 ; DAYS360/360 ; (t_i−t_{i-1})/365 }</t>
  </si>
  <si>
    <t>'α_i = {1 if SWAP &amp; annual; else τ_i}</t>
  </si>
  <si>
    <t>'T_i = YearFrac(t0,t_i) (or TenorMonths/12)</t>
  </si>
  <si>
    <t>'RateUsed: r=Quote/100; f=(100−P)/100; S=Quote/100</t>
  </si>
  <si>
    <t>'CASH: DF=1/(1+r·τ) | FUT: DF_i=DF_{i−1}/(1+f·τ) | SWAP: DF_N=(1−S·Σ_{k=1..N−1}(α_k DF_k))/(1+S·α_N)</t>
  </si>
  <si>
    <t>Rate Used</t>
  </si>
  <si>
    <t>Discount Factor DF (Excel)</t>
  </si>
  <si>
    <t>Zero Rate (cc) (Excel)</t>
  </si>
  <si>
    <t>DF (VBA)</t>
  </si>
  <si>
    <t>Math formula</t>
  </si>
  <si>
    <t>Year</t>
  </si>
  <si>
    <t>DF at Year (Excel)</t>
  </si>
  <si>
    <t>VBA Results - Inputs Preprocessing (values written by macro)</t>
  </si>
  <si>
    <t>Run the macro CalcInputs_VBA_Outputs to compute derived columns with VBA and compare against Excel formulas.</t>
  </si>
  <si>
    <t>BasisCode (VBA)</t>
  </si>
  <si>
    <t>TenorMonths (VBA)</t>
  </si>
  <si>
    <t>StartDate (VBA)</t>
  </si>
  <si>
    <t>EndDate (VBA)</t>
  </si>
  <si>
    <t>Accrual τ (YearFrac VBA)</t>
  </si>
  <si>
    <t>Accrual τ (manual VBA)</t>
  </si>
  <si>
    <t>Coupon α (VBA)</t>
  </si>
  <si>
    <t>T (years) (VBA)</t>
  </si>
  <si>
    <t>Check (VBA vs Excel)</t>
  </si>
  <si>
    <t>Rate Used (VBA)</t>
  </si>
  <si>
    <t>Zero(cc) (VBA)</t>
  </si>
  <si>
    <t>Formula reference (text)</t>
  </si>
  <si>
    <t>ΔDF (Excel-VBA)</t>
  </si>
  <si>
    <t>Validation</t>
  </si>
  <si>
    <t>Max |ΔDF|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</si>
</sst>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dd/mm/yyyy"/>
    <numFmt numFmtId="166" formatCode="0.000000000"/>
    <numFmt numFmtId="167" formatCode="0.0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0"/>
      <name val="Calibri"/>
      <family val="2"/>
    </font>
    <font>
      <b/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1"/>
      <name val="Calibri"/>
      <family val="2"/>
    </font>
    <font>
      <i/>
      <sz val="14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 vertical="center" wrapText="1"/>
    </xf>
    <xf numFmtId="14" fontId="0" fillId="0" borderId="1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0" xfId="0" applyBorder="1"/>
    <xf numFmtId="0" fontId="1" fillId="0" borderId="7" xfId="0" applyFont="1" applyBorder="1"/>
    <xf numFmtId="0" fontId="1" fillId="0" borderId="3" xfId="0" applyFont="1" applyBorder="1"/>
    <xf numFmtId="14" fontId="1" fillId="0" borderId="3" xfId="0" applyNumberFormat="1" applyFont="1" applyBorder="1"/>
    <xf numFmtId="0" fontId="1" fillId="0" borderId="8" xfId="0" applyFont="1" applyBorder="1"/>
    <xf numFmtId="0" fontId="0" fillId="0" borderId="10" xfId="0" applyBorder="1"/>
    <xf numFmtId="14" fontId="0" fillId="0" borderId="10" xfId="0" applyNumberFormat="1" applyBorder="1"/>
    <xf numFmtId="0" fontId="0" fillId="0" borderId="16" xfId="0" applyBorder="1"/>
    <xf numFmtId="0" fontId="0" fillId="0" borderId="13" xfId="0" applyBorder="1"/>
    <xf numFmtId="0" fontId="1" fillId="3" borderId="11" xfId="0" applyFont="1" applyFill="1" applyBorder="1"/>
    <xf numFmtId="14" fontId="0" fillId="0" borderId="12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1" fillId="3" borderId="14" xfId="0" applyFont="1" applyFill="1" applyBorder="1"/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3" fillId="4" borderId="17" xfId="0" quotePrefix="1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10" xfId="0" applyNumberFormat="1" applyBorder="1"/>
    <xf numFmtId="0" fontId="1" fillId="0" borderId="22" xfId="0" applyFont="1" applyBorder="1"/>
    <xf numFmtId="0" fontId="0" fillId="0" borderId="3" xfId="0" applyBorder="1"/>
    <xf numFmtId="0" fontId="0" fillId="0" borderId="22" xfId="0" applyBorder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5" fontId="0" fillId="0" borderId="1" xfId="0" applyNumberFormat="1" applyBorder="1"/>
    <xf numFmtId="166" fontId="0" fillId="0" borderId="1" xfId="0" applyNumberFormat="1" applyBorder="1"/>
    <xf numFmtId="165" fontId="0" fillId="0" borderId="10" xfId="0" applyNumberFormat="1" applyBorder="1"/>
    <xf numFmtId="166" fontId="0" fillId="0" borderId="10" xfId="0" applyNumberFormat="1" applyBorder="1"/>
    <xf numFmtId="167" fontId="0" fillId="0" borderId="0" xfId="0" applyNumberFormat="1"/>
    <xf numFmtId="167" fontId="0" fillId="0" borderId="1" xfId="0" applyNumberFormat="1" applyBorder="1"/>
    <xf numFmtId="167" fontId="0" fillId="0" borderId="10" xfId="0" applyNumberFormat="1" applyBorder="1"/>
    <xf numFmtId="0" fontId="7" fillId="4" borderId="23" xfId="0" quotePrefix="1" applyFont="1" applyFill="1" applyBorder="1" applyAlignment="1">
      <alignment horizontal="center" vertical="center" wrapText="1"/>
    </xf>
    <xf numFmtId="0" fontId="1" fillId="0" borderId="11" xfId="0" applyFont="1" applyBorder="1"/>
    <xf numFmtId="0" fontId="1" fillId="0" borderId="14" xfId="0" applyFont="1" applyBorder="1"/>
  </cellXfs>
  <cellStyles count="1">
    <cellStyle name="Normal" xfId="0" builtinId="0"/>
  </cellStyles>
  <dxfs count="86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000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00C32F-73AA-476B-BF11-E3614EC4937F}" name="Table3" displayName="Table3" ref="A6:M20" totalsRowShown="0" headerRowDxfId="69" headerRowBorderDxfId="84" tableBorderDxfId="85" totalsRowBorderDxfId="83">
  <autoFilter ref="A6:M20" xr:uid="{5200C32F-73AA-476B-BF11-E3614EC4937F}"/>
  <tableColumns count="13">
    <tableColumn id="1" xr3:uid="{7EE3BE9B-8660-4539-A0C9-79EC322F289D}" name="Type" dataDxfId="82"/>
    <tableColumn id="2" xr3:uid="{86E8C94A-690A-4BD4-8E6C-02BF39489022}" name="Tenor" dataDxfId="81"/>
    <tableColumn id="3" xr3:uid="{3BCBD417-7E23-4514-A55F-94923E43EFA6}" name="Quote" dataDxfId="80"/>
    <tableColumn id="4" xr3:uid="{46DC92D1-40D4-42FE-BA83-3B7ED24053FC}" name="DayCount" dataDxfId="79"/>
    <tableColumn id="5" xr3:uid="{BB50C640-21AB-4573-A983-A6FF84AE305B}" name="BasisCode" dataDxfId="78">
      <calculatedColumnFormula>VLOOKUP(D7,$O$7:$P$9,2,FALSE)</calculatedColumnFormula>
    </tableColumn>
    <tableColumn id="6" xr3:uid="{0E021A68-3ACB-4577-AE93-7A6F3C9046BE}" name="FixedFreq" dataDxfId="77"/>
    <tableColumn id="7" xr3:uid="{C1BA0102-ECD0-4BC4-B9D4-F7D27A0EDE4E}" name="TenorMonths" dataDxfId="76">
      <calculatedColumnFormula>IF(RIGHT(B7,1)="Y",12*VALUE(LEFT(B7,LEN(B7)-1)),VALUE(LEFT(B7,LEN(B7)-1)))</calculatedColumnFormula>
    </tableColumn>
    <tableColumn id="8" xr3:uid="{2E09BB7C-C284-4ADB-BEBF-681B150AFFDF}" name="StartDate" dataDxfId="75">
      <calculatedColumnFormula>IF(A7="FUT",I6,$B$3)</calculatedColumnFormula>
    </tableColumn>
    <tableColumn id="9" xr3:uid="{BD8B3986-FD6A-4411-B21A-93A8333AC490}" name="EndDate" dataDxfId="74">
      <calculatedColumnFormula>IF(A7="FUT",EDATE(H7,3),EDATE($B$3,G7))</calculatedColumnFormula>
    </tableColumn>
    <tableColumn id="10" xr3:uid="{44E4743A-EE94-4101-9495-C22731783A56}" name="Accrual τ (YearFrac)" dataDxfId="73">
      <calculatedColumnFormula>YEARFRAC(H7,I7,E7)</calculatedColumnFormula>
    </tableColumn>
    <tableColumn id="14" xr3:uid="{3EEE7EA6-5BA2-4F37-90CB-17C5B2E5EFFA}" name="Accrual τ (manual)" dataDxfId="72">
      <calculatedColumnFormula>IF(D7="ACT/360",(I7-H7)/360,IF(D7="30/360",DAYS360(H7,I7,FALSE)/360,(I7-H7)/365))</calculatedColumnFormula>
    </tableColumn>
    <tableColumn id="13" xr3:uid="{F74952DF-F531-40E0-A89B-316CE0481F37}" name="Coupon α" dataDxfId="71">
      <calculatedColumnFormula>IF(A7="SWAP",1,J7)</calculatedColumnFormula>
    </tableColumn>
    <tableColumn id="11" xr3:uid="{6F883111-3193-4ECF-8A7D-4AD7F2F78C73}" name="T (years)" dataDxfId="70">
      <calculatedColumnFormula>G7/12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8B96A9-932C-471D-9203-F2B510EBB7CA}" name="Table7" displayName="Table7" ref="O6:P9" totalsRowShown="0" headerRowDxfId="63" headerRowBorderDxfId="67" tableBorderDxfId="68" totalsRowBorderDxfId="66">
  <autoFilter ref="O6:P9" xr:uid="{498B96A9-932C-471D-9203-F2B510EBB7CA}"/>
  <tableColumns count="2">
    <tableColumn id="1" xr3:uid="{8E6C5797-827B-4BAB-9ABE-AF6EE581BCE1}" name="DayCount" dataDxfId="65"/>
    <tableColumn id="2" xr3:uid="{3A79A044-A825-4328-94E3-CC329C88FCF7}" name="BasisCode" dataDxfId="64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A5A2D1E-2963-4AFD-AB26-847CE5DE26B4}" name="Table17" displayName="Table17" ref="A27:M41" totalsRowShown="0" headerRowDxfId="19" headerRowBorderDxfId="34" tableBorderDxfId="35" totalsRowBorderDxfId="33">
  <autoFilter ref="A27:M41" xr:uid="{AA5A2D1E-2963-4AFD-AB26-847CE5DE26B4}"/>
  <tableColumns count="13">
    <tableColumn id="1" xr3:uid="{AC1BD9E1-8E9B-47B1-B492-93CA8FD30906}" name="Type" dataDxfId="32">
      <calculatedColumnFormula>IF($A7="","",$A7)</calculatedColumnFormula>
    </tableColumn>
    <tableColumn id="2" xr3:uid="{56BA4B77-0973-46D1-98C7-9E46594360FA}" name="Tenor" dataDxfId="31">
      <calculatedColumnFormula>IF($A7="","",$B7)</calculatedColumnFormula>
    </tableColumn>
    <tableColumn id="3" xr3:uid="{CC694118-A16C-4076-9799-B12AFABB6601}" name="Quote" dataDxfId="30">
      <calculatedColumnFormula>IF($A7="","",$C7)</calculatedColumnFormula>
    </tableColumn>
    <tableColumn id="4" xr3:uid="{592C5DA6-2190-4DAD-BD7D-7E5F184C21D3}" name="DayCount" dataDxfId="29">
      <calculatedColumnFormula>IF($A7="","",$D7)</calculatedColumnFormula>
    </tableColumn>
    <tableColumn id="5" xr3:uid="{196CCDBF-E9A8-4086-94E6-6926F3739EEA}" name="BasisCode (VBA)" dataDxfId="28"/>
    <tableColumn id="6" xr3:uid="{7564A74E-B6D9-433C-BB4F-B8AF6744AB51}" name="TenorMonths (VBA)" dataDxfId="27"/>
    <tableColumn id="7" xr3:uid="{B4A3D32B-A408-4DE0-BD8E-BBA68C5A40B9}" name="StartDate (VBA)" dataDxfId="26"/>
    <tableColumn id="8" xr3:uid="{325DFCF2-3992-44F0-A111-BFBCF36FF838}" name="EndDate (VBA)" dataDxfId="25"/>
    <tableColumn id="9" xr3:uid="{55541A5B-F33C-4666-BB26-3AEC1951599D}" name="Accrual τ (YearFrac VBA)" dataDxfId="24"/>
    <tableColumn id="10" xr3:uid="{72D5A91A-F91E-4DAD-8AFD-18BBC7A1307C}" name="Accrual τ (manual VBA)" dataDxfId="23"/>
    <tableColumn id="11" xr3:uid="{DDC9EFF6-1110-4257-8534-5E1A8D3A4475}" name="Coupon α (VBA)" dataDxfId="22"/>
    <tableColumn id="12" xr3:uid="{71A47778-4991-4E62-92C9-87075AC7054D}" name="T (years) (VBA)" dataDxfId="21"/>
    <tableColumn id="13" xr3:uid="{6B23BC19-B463-4CA5-9C9E-815E480B971C}" name="Check (VBA vs Excel)" dataDxfId="20">
      <calculatedColumnFormula>IF(A28="","",IF(AND(
E28=E7,
F28=G7,
G28=H7,
H28=I7,
ABS(I28-J7)&lt;0.000000001,
ABS(J28-K7)&lt;0.000000001,
ABS(K28-L7)&lt;0.000000001,
ABS(L28-M7)&lt;0.000000001
),"OK","DIFF"))</calculatedColumnFormula>
    </tableColumn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68F721-FCEC-4950-B9A9-4644D456989C}" name="Table311" displayName="Table311" ref="A6:L20" totalsRowShown="0" headerRowDxfId="62" headerRowBorderDxfId="60" tableBorderDxfId="61" totalsRowBorderDxfId="59">
  <autoFilter ref="A6:L20" xr:uid="{5200C32F-73AA-476B-BF11-E3614EC4937F}"/>
  <tableColumns count="12">
    <tableColumn id="1" xr3:uid="{BBB216F3-AA1B-40AF-A162-82666841EB3F}" name="Type" dataDxfId="47"/>
    <tableColumn id="2" xr3:uid="{2A71D4AA-1B6C-40B8-8242-78712A9FCC7F}" name="Tenor" dataDxfId="46"/>
    <tableColumn id="3" xr3:uid="{08C90D75-D3F8-4B2F-89AB-F0AD2D941501}" name="Quote" dataDxfId="45"/>
    <tableColumn id="4" xr3:uid="{02B1D031-C738-428E-A975-27911C71105D}" name="DayCount" dataDxfId="44"/>
    <tableColumn id="5" xr3:uid="{02B573AF-5123-40B1-81E0-78208558725A}" name="StartDate" dataDxfId="43">
      <calculatedColumnFormula>Inputs!H7</calculatedColumnFormula>
    </tableColumn>
    <tableColumn id="6" xr3:uid="{BB42AB21-A872-4707-9AE3-5606D56F6405}" name="EndDate" dataDxfId="42">
      <calculatedColumnFormula>Inputs!I7</calculatedColumnFormula>
    </tableColumn>
    <tableColumn id="7" xr3:uid="{B917B39D-F5A8-47B7-A849-C8C8471C42F0}" name="Accrual τ (manual)" dataDxfId="41">
      <calculatedColumnFormula>Inputs!K7</calculatedColumnFormula>
    </tableColumn>
    <tableColumn id="8" xr3:uid="{09B974B6-1DCF-422F-A1D3-C269184120AE}" name="Coupon α" dataDxfId="40">
      <calculatedColumnFormula>Inputs!L7</calculatedColumnFormula>
    </tableColumn>
    <tableColumn id="9" xr3:uid="{E65A2CCA-B0C8-4F95-81B7-B98CEA7FA112}" name="T (years)" dataDxfId="39">
      <calculatedColumnFormula>Inputs!M7</calculatedColumnFormula>
    </tableColumn>
    <tableColumn id="10" xr3:uid="{B8EBC281-A210-409E-879F-480FEB1F3D71}" name="Rate Used" dataDxfId="52">
      <calculatedColumnFormula>IF(A7="CASH",C7/100,IF(A7="FUT",(100-C7)/100,C7/100))</calculatedColumnFormula>
    </tableColumn>
    <tableColumn id="14" xr3:uid="{8E3166D7-721A-47A8-A8BE-18ACA7DB7389}" name="Discount Factor DF (Excel)" dataDxfId="38">
      <calculatedColumnFormula>IF(A7="CASH",
  1/(1+J7*G7),
  IF(A7="FUT",
     K6/(1+J7*G7),
     (1 - J7*SUM($P$7:INDEX($P$7:$P$24,INT(I7)-1)))/(1+J7*H7)
  )
)</calculatedColumnFormula>
    </tableColumn>
    <tableColumn id="13" xr3:uid="{C4212273-D03B-4419-8084-DD814BCF12CF}" name="Zero Rate (cc) (Excel)" dataDxfId="18">
      <calculatedColumnFormula>IF(K7="","",-LN(K7)/I7)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5F7792-6166-417B-BDF1-4475D8833DF0}" name="Table712" displayName="Table712" ref="M6:M21" totalsRowShown="0" headerRowDxfId="51" headerRowBorderDxfId="49" tableBorderDxfId="50" totalsRowBorderDxfId="48">
  <autoFilter ref="M6:M21" xr:uid="{498B96A9-932C-471D-9203-F2B510EBB7CA}"/>
  <tableColumns count="1">
    <tableColumn id="3" xr3:uid="{2C521F13-4C82-44EA-B57C-A41AA9376B8F}" name="Math formula" dataDxfId="37">
      <calculatedColumnFormula>IF(A7="CASH",
 "DF = 1/(1+r·τ)",
 IF(A7="FUT",
  "DF_i = DF_{i-1}/(1+f_i·τ_i)",
  "DF_N = (1−S·Σ_{k=1..N−1}(α_k·DF_k)) / (1+S·α_N)"
 ))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DE356D-975B-41E4-B0DF-32EA83172F89}" name="Table12" displayName="Table12" ref="O6:P24" totalsRowShown="0" headerRowDxfId="53" headerRowBorderDxfId="56" tableBorderDxfId="57" totalsRowBorderDxfId="55">
  <autoFilter ref="O6:P24" xr:uid="{F8DE356D-975B-41E4-B0DF-32EA83172F89}"/>
  <tableColumns count="2">
    <tableColumn id="1" xr3:uid="{7F512B7C-071A-4C5D-9C51-892B34C677E5}" name="Year" dataDxfId="54">
      <calculatedColumnFormula>O6+1</calculatedColumnFormula>
    </tableColumn>
    <tableColumn id="2" xr3:uid="{73CC3DF9-8AEF-43B4-BA30-D93D93A8DB8C}" name="DF at Year (Excel)" dataDxfId="36">
      <calculatedColumnFormula>IFERROR(LOOKUP(O7,$I$7:$I$194,$K$7:$K$194),"")</calculatedColumnFormula>
    </tableColumn>
  </tableColumns>
  <tableStyleInfo name="TableStyleMedium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A1A7BB-7C9B-4241-8338-312758C9CE2D}" name="Table20" displayName="Table20" ref="A27:N41" totalsRowShown="0" headerRowDxfId="0" headerRowBorderDxfId="16" tableBorderDxfId="17" totalsRowBorderDxfId="15">
  <autoFilter ref="A27:N41" xr:uid="{E7A1A7BB-7C9B-4241-8338-312758C9CE2D}"/>
  <tableColumns count="14">
    <tableColumn id="1" xr3:uid="{71B3A7DF-DDC7-4579-B8F3-C38C21190EA3}" name="Type" dataDxfId="14">
      <calculatedColumnFormula>IF($A7="","",$A7)</calculatedColumnFormula>
    </tableColumn>
    <tableColumn id="2" xr3:uid="{75C00907-DC2B-45E7-98E5-C8508BA07C5A}" name="Tenor" dataDxfId="13">
      <calculatedColumnFormula>IF($A7="","",$B7)</calculatedColumnFormula>
    </tableColumn>
    <tableColumn id="3" xr3:uid="{187F0B4A-4931-474A-B690-58A849348990}" name="Quote" dataDxfId="12">
      <calculatedColumnFormula>IF($A7="","",$C7)</calculatedColumnFormula>
    </tableColumn>
    <tableColumn id="4" xr3:uid="{0F9D6764-2536-4C11-8930-5E75D2CE0D17}" name="DayCount" dataDxfId="11">
      <calculatedColumnFormula>IF($A7="","",$D7)</calculatedColumnFormula>
    </tableColumn>
    <tableColumn id="5" xr3:uid="{CDB2E8F0-184C-414F-B4B3-F48A5364FFE3}" name="StartDate" dataDxfId="10">
      <calculatedColumnFormula>IF($A7="","",$E7)</calculatedColumnFormula>
    </tableColumn>
    <tableColumn id="6" xr3:uid="{6131DCA0-A914-4373-AB7F-7F1220036F12}" name="EndDate" dataDxfId="9">
      <calculatedColumnFormula>IF($A7="","",$F7)</calculatedColumnFormula>
    </tableColumn>
    <tableColumn id="7" xr3:uid="{01795F79-556F-4DCE-9EFA-9CC0A50039EC}" name="Accrual τ (manual)" dataDxfId="8">
      <calculatedColumnFormula>IF($A7="","",$G7)</calculatedColumnFormula>
    </tableColumn>
    <tableColumn id="8" xr3:uid="{DBAD9054-3BF5-4F70-A5F0-8EB98CE2F767}" name="Coupon α" dataDxfId="7">
      <calculatedColumnFormula>IF($A7="","",$H7)</calculatedColumnFormula>
    </tableColumn>
    <tableColumn id="9" xr3:uid="{5BC11076-5FE0-4556-98D4-1A604703CCF9}" name="T (years)" dataDxfId="6">
      <calculatedColumnFormula>IF($A7="","",$I7)</calculatedColumnFormula>
    </tableColumn>
    <tableColumn id="10" xr3:uid="{4069F606-D519-488C-BEC0-A87879947DDD}" name="Rate Used (VBA)" dataDxfId="5"/>
    <tableColumn id="11" xr3:uid="{8DA9E0AE-FB15-4E01-9750-6165FEB65275}" name="DF (VBA)" dataDxfId="4"/>
    <tableColumn id="12" xr3:uid="{6C0456FB-1AFF-4266-946B-0370423419A8}" name="Zero(cc) (VBA)" dataDxfId="3"/>
    <tableColumn id="13" xr3:uid="{BD0560FB-857F-4531-9AEF-71BFC62C654C}" name="ΔDF (Excel-VBA)" dataDxfId="2">
      <calculatedColumnFormula>IF(A28="","",IF(OR($K7="",K28=""),"",$K7-K28))</calculatedColumnFormula>
    </tableColumn>
    <tableColumn id="14" xr3:uid="{7383184D-D2C8-478D-BDD3-2743BC54777D}" name="Check (VBA vs Excel)" dataDxfId="1">
      <calculatedColumnFormula>IF(A28="","",IF(AND(
ABS(J28-$J7)&lt;0.000000001,
ABS(K28-$K7)&lt;0.000000001,
ABS(L28-$L7)&lt;0.000000001
),"OK","DIFF"))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51C4-5340-4064-8A81-E289252BA4B6}">
  <sheetPr codeName="Sheet1"/>
  <dimension ref="A1:P199"/>
  <sheetViews>
    <sheetView zoomScale="40" zoomScaleNormal="40" workbookViewId="0">
      <selection activeCell="K28" sqref="K28"/>
    </sheetView>
  </sheetViews>
  <sheetFormatPr defaultRowHeight="14.4" x14ac:dyDescent="0.3"/>
  <cols>
    <col min="1" max="1" width="14.88671875" customWidth="1"/>
    <col min="2" max="2" width="54.5546875" customWidth="1"/>
    <col min="3" max="3" width="14.77734375" customWidth="1"/>
    <col min="4" max="4" width="14" customWidth="1"/>
    <col min="5" max="5" width="16.77734375" customWidth="1"/>
    <col min="6" max="6" width="19" customWidth="1"/>
    <col min="7" max="7" width="15.6640625" customWidth="1"/>
    <col min="8" max="8" width="15.44140625" customWidth="1"/>
    <col min="9" max="9" width="22.5546875" customWidth="1"/>
    <col min="10" max="10" width="32.21875" customWidth="1"/>
    <col min="11" max="11" width="24.21875" customWidth="1"/>
    <col min="12" max="12" width="14.77734375" customWidth="1"/>
    <col min="13" max="13" width="19.88671875" customWidth="1"/>
    <col min="14" max="14" width="12.21875" customWidth="1"/>
    <col min="15" max="15" width="13.77734375" customWidth="1"/>
    <col min="16" max="16" width="15.109375" customWidth="1"/>
  </cols>
  <sheetData>
    <row r="1" spans="1:16" ht="46.2" customHeight="1" x14ac:dyDescent="0.3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6" ht="15" thickBot="1" x14ac:dyDescent="0.35"/>
    <row r="3" spans="1:16" x14ac:dyDescent="0.3">
      <c r="A3" s="21" t="s">
        <v>1</v>
      </c>
      <c r="B3" s="22">
        <v>46022</v>
      </c>
      <c r="C3" s="22"/>
      <c r="D3" s="23"/>
    </row>
    <row r="4" spans="1:16" ht="50.4" customHeight="1" thickBot="1" x14ac:dyDescent="0.35">
      <c r="A4" s="24" t="s">
        <v>2</v>
      </c>
      <c r="B4" s="25" t="s">
        <v>37</v>
      </c>
      <c r="C4" s="25"/>
      <c r="D4" s="26"/>
    </row>
    <row r="5" spans="1:16" s="2" customFormat="1" ht="84" customHeight="1" x14ac:dyDescent="0.3">
      <c r="A5" s="27" t="s">
        <v>36</v>
      </c>
      <c r="B5" s="28" t="s">
        <v>38</v>
      </c>
      <c r="C5" s="28" t="s">
        <v>39</v>
      </c>
      <c r="D5" s="28" t="s">
        <v>40</v>
      </c>
      <c r="E5" s="28" t="s">
        <v>41</v>
      </c>
      <c r="F5" s="28" t="s">
        <v>42</v>
      </c>
      <c r="G5" s="28" t="s">
        <v>43</v>
      </c>
      <c r="H5" s="28" t="s">
        <v>44</v>
      </c>
      <c r="I5" s="28" t="s">
        <v>45</v>
      </c>
      <c r="J5" s="28" t="s">
        <v>46</v>
      </c>
      <c r="K5" s="28" t="s">
        <v>47</v>
      </c>
      <c r="L5" s="28" t="s">
        <v>48</v>
      </c>
      <c r="M5" s="29" t="s">
        <v>49</v>
      </c>
      <c r="N5"/>
      <c r="O5" s="4"/>
      <c r="P5" s="4"/>
    </row>
    <row r="6" spans="1:16" x14ac:dyDescent="0.3">
      <c r="A6" s="13" t="s">
        <v>8</v>
      </c>
      <c r="B6" s="14" t="s">
        <v>9</v>
      </c>
      <c r="C6" s="14" t="s">
        <v>10</v>
      </c>
      <c r="D6" s="14" t="s">
        <v>3</v>
      </c>
      <c r="E6" s="14" t="s">
        <v>4</v>
      </c>
      <c r="F6" s="14" t="s">
        <v>11</v>
      </c>
      <c r="G6" s="14" t="s">
        <v>12</v>
      </c>
      <c r="H6" s="15" t="s">
        <v>13</v>
      </c>
      <c r="I6" s="15" t="s">
        <v>14</v>
      </c>
      <c r="J6" s="14" t="s">
        <v>34</v>
      </c>
      <c r="K6" s="14" t="s">
        <v>35</v>
      </c>
      <c r="L6" s="14" t="s">
        <v>33</v>
      </c>
      <c r="M6" s="16" t="s">
        <v>15</v>
      </c>
      <c r="O6" s="8" t="s">
        <v>3</v>
      </c>
      <c r="P6" s="9" t="s">
        <v>4</v>
      </c>
    </row>
    <row r="7" spans="1:16" x14ac:dyDescent="0.3">
      <c r="A7" s="6" t="s">
        <v>16</v>
      </c>
      <c r="B7" s="3" t="s">
        <v>17</v>
      </c>
      <c r="C7" s="3">
        <v>5.0999999999999996</v>
      </c>
      <c r="D7" s="3" t="s">
        <v>5</v>
      </c>
      <c r="E7" s="3">
        <f t="shared" ref="E7:E20" si="0">VLOOKUP(D7,$O$7:$P$9,2,FALSE)</f>
        <v>2</v>
      </c>
      <c r="F7" s="3"/>
      <c r="G7" s="3">
        <f t="shared" ref="G7:G20" si="1">IF(RIGHT(B7,1)="Y",12*VALUE(LEFT(B7,LEN(B7)-1)),VALUE(LEFT(B7,LEN(B7)-1)))</f>
        <v>1</v>
      </c>
      <c r="H7" s="5">
        <f t="shared" ref="H7:H20" si="2">IF(A7="FUT",I6,$B$3)</f>
        <v>46022</v>
      </c>
      <c r="I7" s="5">
        <f t="shared" ref="I7:I20" si="3">IF(A7="FUT",EDATE(H7,3),EDATE($B$3,G7))</f>
        <v>46053</v>
      </c>
      <c r="J7" s="3">
        <f t="shared" ref="J7:J20" si="4">YEARFRAC(H7,I7,E7)</f>
        <v>8.611111111111111E-2</v>
      </c>
      <c r="K7" s="3">
        <f t="shared" ref="K7:K20" si="5">IF(D7="ACT/360",(I7-H7)/360,IF(D7="30/360",DAYS360(H7,I7,FALSE)/360,(I7-H7)/365))</f>
        <v>8.611111111111111E-2</v>
      </c>
      <c r="L7" s="3">
        <f t="shared" ref="L7:L20" si="6">IF(A7="SWAP",1,J7)</f>
        <v>8.611111111111111E-2</v>
      </c>
      <c r="M7" s="7">
        <f t="shared" ref="M7:M20" si="7">G7/12</f>
        <v>8.3333333333333329E-2</v>
      </c>
      <c r="O7" s="6" t="s">
        <v>5</v>
      </c>
      <c r="P7" s="7">
        <v>2</v>
      </c>
    </row>
    <row r="8" spans="1:16" x14ac:dyDescent="0.3">
      <c r="A8" s="6" t="s">
        <v>16</v>
      </c>
      <c r="B8" s="3" t="s">
        <v>18</v>
      </c>
      <c r="C8" s="3">
        <v>5.2</v>
      </c>
      <c r="D8" s="3" t="s">
        <v>5</v>
      </c>
      <c r="E8" s="3">
        <f t="shared" si="0"/>
        <v>2</v>
      </c>
      <c r="F8" s="3"/>
      <c r="G8" s="3">
        <f t="shared" si="1"/>
        <v>3</v>
      </c>
      <c r="H8" s="5">
        <f t="shared" si="2"/>
        <v>46022</v>
      </c>
      <c r="I8" s="5">
        <f t="shared" si="3"/>
        <v>46112</v>
      </c>
      <c r="J8" s="3">
        <f t="shared" si="4"/>
        <v>0.25</v>
      </c>
      <c r="K8" s="3">
        <f t="shared" si="5"/>
        <v>0.25</v>
      </c>
      <c r="L8" s="3">
        <f t="shared" si="6"/>
        <v>0.25</v>
      </c>
      <c r="M8" s="7">
        <f t="shared" si="7"/>
        <v>0.25</v>
      </c>
      <c r="O8" s="6" t="s">
        <v>6</v>
      </c>
      <c r="P8" s="7">
        <v>0</v>
      </c>
    </row>
    <row r="9" spans="1:16" x14ac:dyDescent="0.3">
      <c r="A9" s="6" t="s">
        <v>16</v>
      </c>
      <c r="B9" s="3" t="s">
        <v>19</v>
      </c>
      <c r="C9" s="3">
        <v>5.25</v>
      </c>
      <c r="D9" s="3" t="s">
        <v>5</v>
      </c>
      <c r="E9" s="3">
        <f t="shared" si="0"/>
        <v>2</v>
      </c>
      <c r="F9" s="3"/>
      <c r="G9" s="3">
        <f t="shared" si="1"/>
        <v>6</v>
      </c>
      <c r="H9" s="5">
        <f t="shared" si="2"/>
        <v>46022</v>
      </c>
      <c r="I9" s="5">
        <f t="shared" si="3"/>
        <v>46203</v>
      </c>
      <c r="J9" s="3">
        <f t="shared" si="4"/>
        <v>0.50277777777777777</v>
      </c>
      <c r="K9" s="3">
        <f t="shared" si="5"/>
        <v>0.50277777777777777</v>
      </c>
      <c r="L9" s="3">
        <f t="shared" si="6"/>
        <v>0.50277777777777777</v>
      </c>
      <c r="M9" s="7">
        <f t="shared" si="7"/>
        <v>0.5</v>
      </c>
      <c r="O9" s="10" t="s">
        <v>7</v>
      </c>
      <c r="P9" s="11">
        <v>3</v>
      </c>
    </row>
    <row r="10" spans="1:16" x14ac:dyDescent="0.3">
      <c r="A10" s="6" t="s">
        <v>20</v>
      </c>
      <c r="B10" s="3" t="s">
        <v>21</v>
      </c>
      <c r="C10" s="3">
        <v>94.8</v>
      </c>
      <c r="D10" s="3" t="s">
        <v>5</v>
      </c>
      <c r="E10" s="3">
        <f t="shared" si="0"/>
        <v>2</v>
      </c>
      <c r="F10" s="3"/>
      <c r="G10" s="3">
        <f t="shared" si="1"/>
        <v>9</v>
      </c>
      <c r="H10" s="5">
        <f t="shared" si="2"/>
        <v>46203</v>
      </c>
      <c r="I10" s="5">
        <f t="shared" si="3"/>
        <v>46295</v>
      </c>
      <c r="J10" s="3">
        <f t="shared" si="4"/>
        <v>0.25555555555555554</v>
      </c>
      <c r="K10" s="3">
        <f t="shared" si="5"/>
        <v>0.25555555555555554</v>
      </c>
      <c r="L10" s="3">
        <f t="shared" si="6"/>
        <v>0.25555555555555554</v>
      </c>
      <c r="M10" s="7">
        <f t="shared" si="7"/>
        <v>0.75</v>
      </c>
    </row>
    <row r="11" spans="1:16" x14ac:dyDescent="0.3">
      <c r="A11" s="6" t="s">
        <v>20</v>
      </c>
      <c r="B11" s="3" t="s">
        <v>22</v>
      </c>
      <c r="C11" s="3">
        <v>94.6</v>
      </c>
      <c r="D11" s="3" t="s">
        <v>5</v>
      </c>
      <c r="E11" s="3">
        <f t="shared" si="0"/>
        <v>2</v>
      </c>
      <c r="F11" s="3"/>
      <c r="G11" s="3">
        <f t="shared" si="1"/>
        <v>12</v>
      </c>
      <c r="H11" s="5">
        <f t="shared" si="2"/>
        <v>46295</v>
      </c>
      <c r="I11" s="5">
        <f t="shared" si="3"/>
        <v>46386</v>
      </c>
      <c r="J11" s="3">
        <f t="shared" si="4"/>
        <v>0.25277777777777777</v>
      </c>
      <c r="K11" s="3">
        <f t="shared" si="5"/>
        <v>0.25277777777777777</v>
      </c>
      <c r="L11" s="3">
        <f t="shared" si="6"/>
        <v>0.25277777777777777</v>
      </c>
      <c r="M11" s="7">
        <f t="shared" si="7"/>
        <v>1</v>
      </c>
    </row>
    <row r="12" spans="1:16" x14ac:dyDescent="0.3">
      <c r="A12" s="6" t="s">
        <v>20</v>
      </c>
      <c r="B12" s="3" t="s">
        <v>23</v>
      </c>
      <c r="C12" s="3">
        <v>94.4</v>
      </c>
      <c r="D12" s="3" t="s">
        <v>5</v>
      </c>
      <c r="E12" s="3">
        <f t="shared" si="0"/>
        <v>2</v>
      </c>
      <c r="F12" s="3"/>
      <c r="G12" s="3">
        <f t="shared" si="1"/>
        <v>15</v>
      </c>
      <c r="H12" s="5">
        <f t="shared" si="2"/>
        <v>46386</v>
      </c>
      <c r="I12" s="5">
        <f t="shared" si="3"/>
        <v>46476</v>
      </c>
      <c r="J12" s="3">
        <f t="shared" si="4"/>
        <v>0.25</v>
      </c>
      <c r="K12" s="3">
        <f t="shared" si="5"/>
        <v>0.25</v>
      </c>
      <c r="L12" s="3">
        <f t="shared" si="6"/>
        <v>0.25</v>
      </c>
      <c r="M12" s="7">
        <f t="shared" si="7"/>
        <v>1.25</v>
      </c>
    </row>
    <row r="13" spans="1:16" x14ac:dyDescent="0.3">
      <c r="A13" s="6" t="s">
        <v>20</v>
      </c>
      <c r="B13" s="3" t="s">
        <v>24</v>
      </c>
      <c r="C13" s="3">
        <v>94.2</v>
      </c>
      <c r="D13" s="3" t="s">
        <v>5</v>
      </c>
      <c r="E13" s="3">
        <f t="shared" si="0"/>
        <v>2</v>
      </c>
      <c r="F13" s="3"/>
      <c r="G13" s="3">
        <f t="shared" si="1"/>
        <v>18</v>
      </c>
      <c r="H13" s="5">
        <f t="shared" si="2"/>
        <v>46476</v>
      </c>
      <c r="I13" s="5">
        <f t="shared" si="3"/>
        <v>46568</v>
      </c>
      <c r="J13" s="3">
        <f t="shared" si="4"/>
        <v>0.25555555555555554</v>
      </c>
      <c r="K13" s="3">
        <f t="shared" si="5"/>
        <v>0.25555555555555554</v>
      </c>
      <c r="L13" s="3">
        <f t="shared" si="6"/>
        <v>0.25555555555555554</v>
      </c>
      <c r="M13" s="7">
        <f t="shared" si="7"/>
        <v>1.5</v>
      </c>
    </row>
    <row r="14" spans="1:16" x14ac:dyDescent="0.3">
      <c r="A14" s="6" t="s">
        <v>20</v>
      </c>
      <c r="B14" s="3" t="s">
        <v>25</v>
      </c>
      <c r="C14" s="3">
        <v>94</v>
      </c>
      <c r="D14" s="3" t="s">
        <v>5</v>
      </c>
      <c r="E14" s="3">
        <f t="shared" si="0"/>
        <v>2</v>
      </c>
      <c r="F14" s="3"/>
      <c r="G14" s="3">
        <f t="shared" si="1"/>
        <v>21</v>
      </c>
      <c r="H14" s="5">
        <f t="shared" si="2"/>
        <v>46568</v>
      </c>
      <c r="I14" s="5">
        <f t="shared" si="3"/>
        <v>46660</v>
      </c>
      <c r="J14" s="3">
        <f t="shared" si="4"/>
        <v>0.25555555555555554</v>
      </c>
      <c r="K14" s="3">
        <f t="shared" si="5"/>
        <v>0.25555555555555554</v>
      </c>
      <c r="L14" s="3">
        <f t="shared" si="6"/>
        <v>0.25555555555555554</v>
      </c>
      <c r="M14" s="7">
        <f t="shared" si="7"/>
        <v>1.75</v>
      </c>
      <c r="N14" s="12"/>
    </row>
    <row r="15" spans="1:16" x14ac:dyDescent="0.3">
      <c r="A15" s="6" t="s">
        <v>20</v>
      </c>
      <c r="B15" s="3" t="s">
        <v>26</v>
      </c>
      <c r="C15" s="3">
        <v>93.8</v>
      </c>
      <c r="D15" s="3" t="s">
        <v>5</v>
      </c>
      <c r="E15" s="3">
        <f t="shared" si="0"/>
        <v>2</v>
      </c>
      <c r="F15" s="3"/>
      <c r="G15" s="3">
        <f t="shared" si="1"/>
        <v>24</v>
      </c>
      <c r="H15" s="5">
        <f t="shared" si="2"/>
        <v>46660</v>
      </c>
      <c r="I15" s="5">
        <f t="shared" si="3"/>
        <v>46751</v>
      </c>
      <c r="J15" s="3">
        <f t="shared" si="4"/>
        <v>0.25277777777777777</v>
      </c>
      <c r="K15" s="3">
        <f t="shared" si="5"/>
        <v>0.25277777777777777</v>
      </c>
      <c r="L15" s="3">
        <f t="shared" si="6"/>
        <v>0.25277777777777777</v>
      </c>
      <c r="M15" s="7">
        <f t="shared" si="7"/>
        <v>2</v>
      </c>
      <c r="N15" s="12"/>
    </row>
    <row r="16" spans="1:16" x14ac:dyDescent="0.3">
      <c r="A16" s="6" t="s">
        <v>27</v>
      </c>
      <c r="B16" s="3" t="s">
        <v>28</v>
      </c>
      <c r="C16" s="3">
        <v>4.2</v>
      </c>
      <c r="D16" s="3" t="s">
        <v>6</v>
      </c>
      <c r="E16" s="3">
        <f t="shared" si="0"/>
        <v>0</v>
      </c>
      <c r="F16" s="3">
        <v>1</v>
      </c>
      <c r="G16" s="3">
        <f t="shared" si="1"/>
        <v>36</v>
      </c>
      <c r="H16" s="5">
        <f t="shared" si="2"/>
        <v>46022</v>
      </c>
      <c r="I16" s="5">
        <f t="shared" si="3"/>
        <v>47118</v>
      </c>
      <c r="J16" s="3">
        <f t="shared" si="4"/>
        <v>3</v>
      </c>
      <c r="K16" s="3">
        <f t="shared" si="5"/>
        <v>3</v>
      </c>
      <c r="L16" s="3">
        <f t="shared" si="6"/>
        <v>1</v>
      </c>
      <c r="M16" s="7">
        <f t="shared" si="7"/>
        <v>3</v>
      </c>
      <c r="N16" s="12"/>
    </row>
    <row r="17" spans="1:14" x14ac:dyDescent="0.3">
      <c r="A17" s="6" t="s">
        <v>27</v>
      </c>
      <c r="B17" s="3" t="s">
        <v>29</v>
      </c>
      <c r="C17" s="3">
        <v>4.0999999999999996</v>
      </c>
      <c r="D17" s="3" t="s">
        <v>6</v>
      </c>
      <c r="E17" s="3">
        <f t="shared" si="0"/>
        <v>0</v>
      </c>
      <c r="F17" s="3">
        <v>1</v>
      </c>
      <c r="G17" s="3">
        <f t="shared" si="1"/>
        <v>48</v>
      </c>
      <c r="H17" s="5">
        <f t="shared" si="2"/>
        <v>46022</v>
      </c>
      <c r="I17" s="5">
        <f t="shared" si="3"/>
        <v>47483</v>
      </c>
      <c r="J17" s="3">
        <f t="shared" si="4"/>
        <v>4</v>
      </c>
      <c r="K17" s="3">
        <f t="shared" si="5"/>
        <v>4</v>
      </c>
      <c r="L17" s="3">
        <f t="shared" si="6"/>
        <v>1</v>
      </c>
      <c r="M17" s="7">
        <f t="shared" si="7"/>
        <v>4</v>
      </c>
      <c r="N17" s="12"/>
    </row>
    <row r="18" spans="1:14" x14ac:dyDescent="0.3">
      <c r="A18" s="6" t="s">
        <v>27</v>
      </c>
      <c r="B18" s="3" t="s">
        <v>30</v>
      </c>
      <c r="C18" s="3">
        <v>4.05</v>
      </c>
      <c r="D18" s="3" t="s">
        <v>6</v>
      </c>
      <c r="E18" s="3">
        <f t="shared" si="0"/>
        <v>0</v>
      </c>
      <c r="F18" s="3">
        <v>1</v>
      </c>
      <c r="G18" s="3">
        <f t="shared" si="1"/>
        <v>60</v>
      </c>
      <c r="H18" s="5">
        <f t="shared" si="2"/>
        <v>46022</v>
      </c>
      <c r="I18" s="5">
        <f t="shared" si="3"/>
        <v>47848</v>
      </c>
      <c r="J18" s="3">
        <f t="shared" si="4"/>
        <v>5</v>
      </c>
      <c r="K18" s="3">
        <f t="shared" si="5"/>
        <v>5</v>
      </c>
      <c r="L18" s="3">
        <f t="shared" si="6"/>
        <v>1</v>
      </c>
      <c r="M18" s="7">
        <f t="shared" si="7"/>
        <v>5</v>
      </c>
      <c r="N18" s="12"/>
    </row>
    <row r="19" spans="1:14" x14ac:dyDescent="0.3">
      <c r="A19" s="6" t="s">
        <v>27</v>
      </c>
      <c r="B19" s="3" t="s">
        <v>31</v>
      </c>
      <c r="C19" s="3">
        <v>4</v>
      </c>
      <c r="D19" s="3" t="s">
        <v>6</v>
      </c>
      <c r="E19" s="3">
        <f t="shared" si="0"/>
        <v>0</v>
      </c>
      <c r="F19" s="3">
        <v>1</v>
      </c>
      <c r="G19" s="3">
        <f t="shared" si="1"/>
        <v>84</v>
      </c>
      <c r="H19" s="5">
        <f t="shared" si="2"/>
        <v>46022</v>
      </c>
      <c r="I19" s="5">
        <f t="shared" si="3"/>
        <v>48579</v>
      </c>
      <c r="J19" s="3">
        <f t="shared" si="4"/>
        <v>7</v>
      </c>
      <c r="K19" s="3">
        <f t="shared" si="5"/>
        <v>7</v>
      </c>
      <c r="L19" s="3">
        <f t="shared" si="6"/>
        <v>1</v>
      </c>
      <c r="M19" s="7">
        <f t="shared" si="7"/>
        <v>7</v>
      </c>
      <c r="N19" s="12"/>
    </row>
    <row r="20" spans="1:14" x14ac:dyDescent="0.3">
      <c r="A20" s="10" t="s">
        <v>27</v>
      </c>
      <c r="B20" s="17" t="s">
        <v>32</v>
      </c>
      <c r="C20" s="17">
        <v>3.95</v>
      </c>
      <c r="D20" s="17" t="s">
        <v>6</v>
      </c>
      <c r="E20" s="17">
        <f t="shared" si="0"/>
        <v>0</v>
      </c>
      <c r="F20" s="17">
        <v>1</v>
      </c>
      <c r="G20" s="17">
        <f t="shared" si="1"/>
        <v>120</v>
      </c>
      <c r="H20" s="18">
        <f t="shared" si="2"/>
        <v>46022</v>
      </c>
      <c r="I20" s="18">
        <f t="shared" si="3"/>
        <v>49674</v>
      </c>
      <c r="J20" s="17">
        <f t="shared" si="4"/>
        <v>10</v>
      </c>
      <c r="K20" s="17">
        <f t="shared" si="5"/>
        <v>10</v>
      </c>
      <c r="L20" s="17">
        <f t="shared" si="6"/>
        <v>1</v>
      </c>
      <c r="M20" s="11">
        <f t="shared" si="7"/>
        <v>10</v>
      </c>
      <c r="N20" s="12"/>
    </row>
    <row r="24" spans="1:14" ht="23.4" x14ac:dyDescent="0.3">
      <c r="A24" s="39" t="s">
        <v>69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1:14" ht="18" x14ac:dyDescent="0.35">
      <c r="A25" s="37" t="s">
        <v>70</v>
      </c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</row>
    <row r="26" spans="1:14" ht="18" x14ac:dyDescent="0.35">
      <c r="A26" s="38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4" x14ac:dyDescent="0.3">
      <c r="A27" s="8" t="s">
        <v>8</v>
      </c>
      <c r="B27" s="35" t="s">
        <v>9</v>
      </c>
      <c r="C27" s="35" t="s">
        <v>10</v>
      </c>
      <c r="D27" s="35" t="s">
        <v>3</v>
      </c>
      <c r="E27" s="35" t="s">
        <v>71</v>
      </c>
      <c r="F27" s="35" t="s">
        <v>72</v>
      </c>
      <c r="G27" s="35" t="s">
        <v>73</v>
      </c>
      <c r="H27" s="35" t="s">
        <v>74</v>
      </c>
      <c r="I27" s="35" t="s">
        <v>75</v>
      </c>
      <c r="J27" s="35" t="s">
        <v>76</v>
      </c>
      <c r="K27" s="35" t="s">
        <v>77</v>
      </c>
      <c r="L27" s="35" t="s">
        <v>78</v>
      </c>
      <c r="M27" s="9" t="s">
        <v>79</v>
      </c>
    </row>
    <row r="28" spans="1:14" x14ac:dyDescent="0.3">
      <c r="A28" s="6" t="str">
        <f>IF($A7="","",$A7)</f>
        <v>CASH</v>
      </c>
      <c r="B28" s="3" t="str">
        <f t="shared" ref="B28:B41" si="8">IF($A7="","",$B7)</f>
        <v>1M</v>
      </c>
      <c r="C28" s="3">
        <f t="shared" ref="C28:C41" si="9">IF($A7="","",$C7)</f>
        <v>5.0999999999999996</v>
      </c>
      <c r="D28" s="3" t="str">
        <f t="shared" ref="D28:D41" si="10">IF($A7="","",$D7)</f>
        <v>ACT/360</v>
      </c>
      <c r="E28" s="3">
        <v>2</v>
      </c>
      <c r="F28" s="3">
        <v>1</v>
      </c>
      <c r="G28" s="44">
        <v>46022</v>
      </c>
      <c r="H28" s="44">
        <v>46053</v>
      </c>
      <c r="I28" s="45">
        <v>8.611111111111111E-2</v>
      </c>
      <c r="J28" s="45">
        <v>8.611111111111111E-2</v>
      </c>
      <c r="K28" s="45">
        <v>8.611111111111111E-2</v>
      </c>
      <c r="L28" s="45">
        <v>8.3333333333333329E-2</v>
      </c>
      <c r="M28" s="7" t="str">
        <f>IF(A28="","",IF(AND(
E28=E7,
F28=G7,
G28=H7,
H28=I7,
ABS(I28-J7)&lt;0.000000001,
ABS(J28-K7)&lt;0.000000001,
ABS(K28-L7)&lt;0.000000001,
ABS(L28-M7)&lt;0.000000001
),"OK","DIFF"))</f>
        <v>OK</v>
      </c>
    </row>
    <row r="29" spans="1:14" x14ac:dyDescent="0.3">
      <c r="A29" s="6" t="str">
        <f t="shared" ref="A29:A41" si="11">IF($A8="","",$A8)</f>
        <v>CASH</v>
      </c>
      <c r="B29" s="3" t="str">
        <f t="shared" si="8"/>
        <v>3M</v>
      </c>
      <c r="C29" s="3">
        <f t="shared" si="9"/>
        <v>5.2</v>
      </c>
      <c r="D29" s="3" t="str">
        <f t="shared" si="10"/>
        <v>ACT/360</v>
      </c>
      <c r="E29" s="3">
        <v>2</v>
      </c>
      <c r="F29" s="3">
        <v>3</v>
      </c>
      <c r="G29" s="44">
        <v>46022</v>
      </c>
      <c r="H29" s="44">
        <v>46112</v>
      </c>
      <c r="I29" s="45">
        <v>0.25</v>
      </c>
      <c r="J29" s="45">
        <v>0.25</v>
      </c>
      <c r="K29" s="45">
        <v>0.25</v>
      </c>
      <c r="L29" s="45">
        <v>0.25</v>
      </c>
      <c r="M29" s="7" t="str">
        <f t="shared" ref="M29:M41" si="12">IF(A29="","",IF(AND(
E29=E8,
F29=G8,
G29=H8,
H29=I8,
ABS(I29-J8)&lt;0.000000001,
ABS(J29-K8)&lt;0.000000001,
ABS(K29-L8)&lt;0.000000001,
ABS(L29-M8)&lt;0.000000001
),"OK","DIFF"))</f>
        <v>OK</v>
      </c>
    </row>
    <row r="30" spans="1:14" x14ac:dyDescent="0.3">
      <c r="A30" s="6" t="str">
        <f t="shared" si="11"/>
        <v>CASH</v>
      </c>
      <c r="B30" s="3" t="str">
        <f t="shared" si="8"/>
        <v>6M</v>
      </c>
      <c r="C30" s="3">
        <f t="shared" si="9"/>
        <v>5.25</v>
      </c>
      <c r="D30" s="3" t="str">
        <f t="shared" si="10"/>
        <v>ACT/360</v>
      </c>
      <c r="E30" s="3">
        <v>2</v>
      </c>
      <c r="F30" s="3">
        <v>6</v>
      </c>
      <c r="G30" s="44">
        <v>46022</v>
      </c>
      <c r="H30" s="44">
        <v>46203</v>
      </c>
      <c r="I30" s="45">
        <v>0.50277777777777777</v>
      </c>
      <c r="J30" s="45">
        <v>0.50277777777777777</v>
      </c>
      <c r="K30" s="45">
        <v>0.50277777777777777</v>
      </c>
      <c r="L30" s="45">
        <v>0.5</v>
      </c>
      <c r="M30" s="7" t="str">
        <f t="shared" si="12"/>
        <v>OK</v>
      </c>
    </row>
    <row r="31" spans="1:14" x14ac:dyDescent="0.3">
      <c r="A31" s="6" t="str">
        <f t="shared" si="11"/>
        <v>FUT</v>
      </c>
      <c r="B31" s="3" t="str">
        <f t="shared" si="8"/>
        <v>9M</v>
      </c>
      <c r="C31" s="3">
        <f t="shared" si="9"/>
        <v>94.8</v>
      </c>
      <c r="D31" s="3" t="str">
        <f t="shared" si="10"/>
        <v>ACT/360</v>
      </c>
      <c r="E31" s="3">
        <v>2</v>
      </c>
      <c r="F31" s="3">
        <v>9</v>
      </c>
      <c r="G31" s="44">
        <v>46203</v>
      </c>
      <c r="H31" s="44">
        <v>46295</v>
      </c>
      <c r="I31" s="45">
        <v>0.25555555555555554</v>
      </c>
      <c r="J31" s="45">
        <v>0.25555555555555554</v>
      </c>
      <c r="K31" s="45">
        <v>0.25555555555555554</v>
      </c>
      <c r="L31" s="45">
        <v>0.75</v>
      </c>
      <c r="M31" s="7" t="str">
        <f t="shared" si="12"/>
        <v>OK</v>
      </c>
    </row>
    <row r="32" spans="1:14" x14ac:dyDescent="0.3">
      <c r="A32" s="6" t="str">
        <f t="shared" si="11"/>
        <v>FUT</v>
      </c>
      <c r="B32" s="3" t="str">
        <f t="shared" si="8"/>
        <v>12M</v>
      </c>
      <c r="C32" s="3">
        <f t="shared" si="9"/>
        <v>94.6</v>
      </c>
      <c r="D32" s="3" t="str">
        <f t="shared" si="10"/>
        <v>ACT/360</v>
      </c>
      <c r="E32" s="3">
        <v>2</v>
      </c>
      <c r="F32" s="3">
        <v>12</v>
      </c>
      <c r="G32" s="44">
        <v>46295</v>
      </c>
      <c r="H32" s="44">
        <v>46386</v>
      </c>
      <c r="I32" s="45">
        <v>0.25277777777777777</v>
      </c>
      <c r="J32" s="45">
        <v>0.25277777777777777</v>
      </c>
      <c r="K32" s="45">
        <v>0.25277777777777777</v>
      </c>
      <c r="L32" s="45">
        <v>1</v>
      </c>
      <c r="M32" s="7" t="str">
        <f t="shared" si="12"/>
        <v>OK</v>
      </c>
    </row>
    <row r="33" spans="1:13" x14ac:dyDescent="0.3">
      <c r="A33" s="6" t="str">
        <f t="shared" si="11"/>
        <v>FUT</v>
      </c>
      <c r="B33" s="3" t="str">
        <f t="shared" si="8"/>
        <v>15M</v>
      </c>
      <c r="C33" s="3">
        <f t="shared" si="9"/>
        <v>94.4</v>
      </c>
      <c r="D33" s="3" t="str">
        <f t="shared" si="10"/>
        <v>ACT/360</v>
      </c>
      <c r="E33" s="3">
        <v>2</v>
      </c>
      <c r="F33" s="3">
        <v>15</v>
      </c>
      <c r="G33" s="44">
        <v>46386</v>
      </c>
      <c r="H33" s="44">
        <v>46476</v>
      </c>
      <c r="I33" s="45">
        <v>0.25</v>
      </c>
      <c r="J33" s="45">
        <v>0.25</v>
      </c>
      <c r="K33" s="45">
        <v>0.25</v>
      </c>
      <c r="L33" s="45">
        <v>1.25</v>
      </c>
      <c r="M33" s="7" t="str">
        <f t="shared" si="12"/>
        <v>OK</v>
      </c>
    </row>
    <row r="34" spans="1:13" x14ac:dyDescent="0.3">
      <c r="A34" s="6" t="str">
        <f t="shared" si="11"/>
        <v>FUT</v>
      </c>
      <c r="B34" s="3" t="str">
        <f>IF($A13="","",$B13)</f>
        <v>18M</v>
      </c>
      <c r="C34" s="3">
        <f t="shared" si="9"/>
        <v>94.2</v>
      </c>
      <c r="D34" s="3" t="str">
        <f t="shared" si="10"/>
        <v>ACT/360</v>
      </c>
      <c r="E34" s="3">
        <v>2</v>
      </c>
      <c r="F34" s="3">
        <v>18</v>
      </c>
      <c r="G34" s="44">
        <v>46476</v>
      </c>
      <c r="H34" s="44">
        <v>46568</v>
      </c>
      <c r="I34" s="45">
        <v>0.25555555555555554</v>
      </c>
      <c r="J34" s="45">
        <v>0.25555555555555554</v>
      </c>
      <c r="K34" s="45">
        <v>0.25555555555555554</v>
      </c>
      <c r="L34" s="45">
        <v>1.5</v>
      </c>
      <c r="M34" s="7" t="str">
        <f t="shared" si="12"/>
        <v>OK</v>
      </c>
    </row>
    <row r="35" spans="1:13" x14ac:dyDescent="0.3">
      <c r="A35" s="6" t="str">
        <f t="shared" si="11"/>
        <v>FUT</v>
      </c>
      <c r="B35" s="3" t="str">
        <f t="shared" si="8"/>
        <v>21M</v>
      </c>
      <c r="C35" s="3">
        <f t="shared" si="9"/>
        <v>94</v>
      </c>
      <c r="D35" s="3" t="str">
        <f t="shared" si="10"/>
        <v>ACT/360</v>
      </c>
      <c r="E35" s="3">
        <v>2</v>
      </c>
      <c r="F35" s="3">
        <v>21</v>
      </c>
      <c r="G35" s="44">
        <v>46568</v>
      </c>
      <c r="H35" s="44">
        <v>46660</v>
      </c>
      <c r="I35" s="45">
        <v>0.25555555555555554</v>
      </c>
      <c r="J35" s="45">
        <v>0.25555555555555554</v>
      </c>
      <c r="K35" s="45">
        <v>0.25555555555555554</v>
      </c>
      <c r="L35" s="45">
        <v>1.75</v>
      </c>
      <c r="M35" s="7" t="str">
        <f t="shared" si="12"/>
        <v>OK</v>
      </c>
    </row>
    <row r="36" spans="1:13" x14ac:dyDescent="0.3">
      <c r="A36" s="6" t="str">
        <f t="shared" si="11"/>
        <v>FUT</v>
      </c>
      <c r="B36" s="3" t="str">
        <f t="shared" si="8"/>
        <v>24M</v>
      </c>
      <c r="C36" s="3">
        <f t="shared" si="9"/>
        <v>93.8</v>
      </c>
      <c r="D36" s="3" t="str">
        <f t="shared" si="10"/>
        <v>ACT/360</v>
      </c>
      <c r="E36" s="3">
        <v>2</v>
      </c>
      <c r="F36" s="3">
        <v>24</v>
      </c>
      <c r="G36" s="44">
        <v>46660</v>
      </c>
      <c r="H36" s="44">
        <v>46751</v>
      </c>
      <c r="I36" s="45">
        <v>0.25277777777777777</v>
      </c>
      <c r="J36" s="45">
        <v>0.25277777777777777</v>
      </c>
      <c r="K36" s="45">
        <v>0.25277777777777777</v>
      </c>
      <c r="L36" s="45">
        <v>2</v>
      </c>
      <c r="M36" s="7" t="str">
        <f t="shared" si="12"/>
        <v>OK</v>
      </c>
    </row>
    <row r="37" spans="1:13" x14ac:dyDescent="0.3">
      <c r="A37" s="6" t="str">
        <f t="shared" si="11"/>
        <v>SWAP</v>
      </c>
      <c r="B37" s="3" t="str">
        <f t="shared" si="8"/>
        <v>3Y</v>
      </c>
      <c r="C37" s="3">
        <f t="shared" si="9"/>
        <v>4.2</v>
      </c>
      <c r="D37" s="3" t="str">
        <f t="shared" si="10"/>
        <v>30/360</v>
      </c>
      <c r="E37" s="3">
        <v>0</v>
      </c>
      <c r="F37" s="3">
        <v>36</v>
      </c>
      <c r="G37" s="44">
        <v>46022</v>
      </c>
      <c r="H37" s="44">
        <v>47118</v>
      </c>
      <c r="I37" s="45">
        <v>3</v>
      </c>
      <c r="J37" s="45">
        <v>3</v>
      </c>
      <c r="K37" s="45">
        <v>1</v>
      </c>
      <c r="L37" s="45">
        <v>3</v>
      </c>
      <c r="M37" s="7" t="str">
        <f t="shared" si="12"/>
        <v>OK</v>
      </c>
    </row>
    <row r="38" spans="1:13" x14ac:dyDescent="0.3">
      <c r="A38" s="6" t="str">
        <f t="shared" si="11"/>
        <v>SWAP</v>
      </c>
      <c r="B38" s="3" t="str">
        <f t="shared" si="8"/>
        <v>4Y</v>
      </c>
      <c r="C38" s="3">
        <f t="shared" si="9"/>
        <v>4.0999999999999996</v>
      </c>
      <c r="D38" s="3" t="str">
        <f t="shared" si="10"/>
        <v>30/360</v>
      </c>
      <c r="E38" s="3">
        <v>0</v>
      </c>
      <c r="F38" s="3">
        <v>48</v>
      </c>
      <c r="G38" s="44">
        <v>46022</v>
      </c>
      <c r="H38" s="44">
        <v>47483</v>
      </c>
      <c r="I38" s="45">
        <v>4</v>
      </c>
      <c r="J38" s="45">
        <v>4</v>
      </c>
      <c r="K38" s="45">
        <v>1</v>
      </c>
      <c r="L38" s="45">
        <v>4</v>
      </c>
      <c r="M38" s="7" t="str">
        <f t="shared" si="12"/>
        <v>OK</v>
      </c>
    </row>
    <row r="39" spans="1:13" x14ac:dyDescent="0.3">
      <c r="A39" s="6" t="str">
        <f t="shared" si="11"/>
        <v>SWAP</v>
      </c>
      <c r="B39" s="3" t="str">
        <f t="shared" si="8"/>
        <v>5Y</v>
      </c>
      <c r="C39" s="3">
        <f t="shared" si="9"/>
        <v>4.05</v>
      </c>
      <c r="D39" s="3" t="str">
        <f t="shared" si="10"/>
        <v>30/360</v>
      </c>
      <c r="E39" s="3">
        <v>0</v>
      </c>
      <c r="F39" s="3">
        <v>60</v>
      </c>
      <c r="G39" s="44">
        <v>46022</v>
      </c>
      <c r="H39" s="44">
        <v>47848</v>
      </c>
      <c r="I39" s="45">
        <v>5</v>
      </c>
      <c r="J39" s="45">
        <v>5</v>
      </c>
      <c r="K39" s="45">
        <v>1</v>
      </c>
      <c r="L39" s="45">
        <v>5</v>
      </c>
      <c r="M39" s="7" t="str">
        <f t="shared" si="12"/>
        <v>OK</v>
      </c>
    </row>
    <row r="40" spans="1:13" x14ac:dyDescent="0.3">
      <c r="A40" s="6" t="str">
        <f t="shared" si="11"/>
        <v>SWAP</v>
      </c>
      <c r="B40" s="3" t="str">
        <f t="shared" si="8"/>
        <v>7Y</v>
      </c>
      <c r="C40" s="3">
        <f t="shared" si="9"/>
        <v>4</v>
      </c>
      <c r="D40" s="3" t="str">
        <f t="shared" si="10"/>
        <v>30/360</v>
      </c>
      <c r="E40" s="3">
        <v>0</v>
      </c>
      <c r="F40" s="3">
        <v>84</v>
      </c>
      <c r="G40" s="44">
        <v>46022</v>
      </c>
      <c r="H40" s="44">
        <v>48579</v>
      </c>
      <c r="I40" s="45">
        <v>7</v>
      </c>
      <c r="J40" s="45">
        <v>7</v>
      </c>
      <c r="K40" s="45">
        <v>1</v>
      </c>
      <c r="L40" s="45">
        <v>7</v>
      </c>
      <c r="M40" s="7" t="str">
        <f t="shared" si="12"/>
        <v>OK</v>
      </c>
    </row>
    <row r="41" spans="1:13" x14ac:dyDescent="0.3">
      <c r="A41" s="10" t="str">
        <f t="shared" si="11"/>
        <v>SWAP</v>
      </c>
      <c r="B41" s="17" t="str">
        <f t="shared" si="8"/>
        <v>10Y</v>
      </c>
      <c r="C41" s="17">
        <f t="shared" si="9"/>
        <v>3.95</v>
      </c>
      <c r="D41" s="17" t="str">
        <f t="shared" si="10"/>
        <v>30/360</v>
      </c>
      <c r="E41" s="17">
        <v>0</v>
      </c>
      <c r="F41" s="17">
        <v>120</v>
      </c>
      <c r="G41" s="46">
        <v>46022</v>
      </c>
      <c r="H41" s="46">
        <v>49674</v>
      </c>
      <c r="I41" s="47">
        <v>10</v>
      </c>
      <c r="J41" s="47">
        <v>10</v>
      </c>
      <c r="K41" s="47">
        <v>1</v>
      </c>
      <c r="L41" s="47">
        <v>10</v>
      </c>
      <c r="M41" s="11" t="str">
        <f t="shared" si="12"/>
        <v>OK</v>
      </c>
    </row>
    <row r="42" spans="1:13" x14ac:dyDescent="0.3">
      <c r="G42" s="42"/>
      <c r="H42" s="42"/>
      <c r="I42" s="43"/>
      <c r="J42" s="43"/>
      <c r="K42" s="43"/>
      <c r="L42" s="43"/>
    </row>
    <row r="43" spans="1:13" x14ac:dyDescent="0.3">
      <c r="G43" s="42"/>
      <c r="H43" s="42"/>
      <c r="I43" s="43"/>
      <c r="J43" s="43"/>
      <c r="K43" s="43"/>
      <c r="L43" s="43"/>
    </row>
    <row r="44" spans="1:13" x14ac:dyDescent="0.3">
      <c r="G44" s="42"/>
      <c r="H44" s="42"/>
      <c r="I44" s="43"/>
      <c r="J44" s="43"/>
      <c r="K44" s="43"/>
      <c r="L44" s="43"/>
    </row>
    <row r="45" spans="1:13" x14ac:dyDescent="0.3">
      <c r="G45" s="42"/>
      <c r="H45" s="42"/>
      <c r="I45" s="43"/>
      <c r="J45" s="43"/>
      <c r="K45" s="43"/>
      <c r="L45" s="43"/>
    </row>
    <row r="46" spans="1:13" x14ac:dyDescent="0.3">
      <c r="G46" s="42"/>
      <c r="H46" s="42"/>
      <c r="I46" s="43"/>
      <c r="J46" s="43"/>
      <c r="K46" s="43"/>
      <c r="L46" s="43"/>
    </row>
    <row r="47" spans="1:13" x14ac:dyDescent="0.3">
      <c r="G47" s="42"/>
      <c r="H47" s="42"/>
      <c r="I47" s="43"/>
      <c r="J47" s="43"/>
      <c r="K47" s="43"/>
      <c r="L47" s="43"/>
    </row>
    <row r="48" spans="1:13" x14ac:dyDescent="0.3">
      <c r="G48" s="42"/>
      <c r="H48" s="42"/>
      <c r="I48" s="43"/>
      <c r="J48" s="43"/>
      <c r="K48" s="43"/>
      <c r="L48" s="43"/>
    </row>
    <row r="49" spans="7:12" x14ac:dyDescent="0.3">
      <c r="G49" s="42"/>
      <c r="H49" s="42"/>
      <c r="I49" s="43"/>
      <c r="J49" s="43"/>
      <c r="K49" s="43"/>
      <c r="L49" s="43"/>
    </row>
    <row r="50" spans="7:12" x14ac:dyDescent="0.3">
      <c r="G50" s="42"/>
      <c r="H50" s="42"/>
      <c r="I50" s="43"/>
      <c r="J50" s="43"/>
      <c r="K50" s="43"/>
      <c r="L50" s="43"/>
    </row>
    <row r="51" spans="7:12" x14ac:dyDescent="0.3">
      <c r="G51" s="42"/>
      <c r="H51" s="42"/>
      <c r="I51" s="43"/>
      <c r="J51" s="43"/>
      <c r="K51" s="43"/>
      <c r="L51" s="43"/>
    </row>
    <row r="52" spans="7:12" x14ac:dyDescent="0.3">
      <c r="G52" s="42"/>
      <c r="H52" s="42"/>
      <c r="I52" s="43"/>
      <c r="J52" s="43"/>
      <c r="K52" s="43"/>
      <c r="L52" s="43"/>
    </row>
    <row r="53" spans="7:12" x14ac:dyDescent="0.3">
      <c r="G53" s="42"/>
      <c r="H53" s="42"/>
      <c r="I53" s="43"/>
      <c r="J53" s="43"/>
      <c r="K53" s="43"/>
      <c r="L53" s="43"/>
    </row>
    <row r="54" spans="7:12" x14ac:dyDescent="0.3">
      <c r="G54" s="42"/>
      <c r="H54" s="42"/>
      <c r="I54" s="43"/>
      <c r="J54" s="43"/>
      <c r="K54" s="43"/>
      <c r="L54" s="43"/>
    </row>
    <row r="55" spans="7:12" x14ac:dyDescent="0.3">
      <c r="G55" s="42"/>
      <c r="H55" s="42"/>
      <c r="I55" s="43"/>
      <c r="J55" s="43"/>
      <c r="K55" s="43"/>
      <c r="L55" s="43"/>
    </row>
    <row r="56" spans="7:12" x14ac:dyDescent="0.3">
      <c r="G56" s="42"/>
      <c r="H56" s="42"/>
      <c r="I56" s="43"/>
      <c r="J56" s="43"/>
      <c r="K56" s="43"/>
      <c r="L56" s="43"/>
    </row>
    <row r="57" spans="7:12" x14ac:dyDescent="0.3">
      <c r="G57" s="42"/>
      <c r="H57" s="42"/>
      <c r="I57" s="43"/>
      <c r="J57" s="43"/>
      <c r="K57" s="43"/>
      <c r="L57" s="43"/>
    </row>
    <row r="58" spans="7:12" x14ac:dyDescent="0.3">
      <c r="G58" s="42"/>
      <c r="H58" s="42"/>
      <c r="I58" s="43"/>
      <c r="J58" s="43"/>
      <c r="K58" s="43"/>
      <c r="L58" s="43"/>
    </row>
    <row r="59" spans="7:12" x14ac:dyDescent="0.3">
      <c r="G59" s="42"/>
      <c r="H59" s="42"/>
      <c r="I59" s="43"/>
      <c r="J59" s="43"/>
      <c r="K59" s="43"/>
      <c r="L59" s="43"/>
    </row>
    <row r="60" spans="7:12" x14ac:dyDescent="0.3">
      <c r="G60" s="42"/>
      <c r="H60" s="42"/>
      <c r="I60" s="43"/>
      <c r="J60" s="43"/>
      <c r="K60" s="43"/>
      <c r="L60" s="43"/>
    </row>
    <row r="61" spans="7:12" x14ac:dyDescent="0.3">
      <c r="G61" s="42"/>
      <c r="H61" s="42"/>
      <c r="I61" s="43"/>
      <c r="J61" s="43"/>
      <c r="K61" s="43"/>
      <c r="L61" s="43"/>
    </row>
    <row r="62" spans="7:12" x14ac:dyDescent="0.3">
      <c r="G62" s="42"/>
      <c r="H62" s="42"/>
      <c r="I62" s="43"/>
      <c r="J62" s="43"/>
      <c r="K62" s="43"/>
      <c r="L62" s="43"/>
    </row>
    <row r="63" spans="7:12" x14ac:dyDescent="0.3">
      <c r="G63" s="42"/>
      <c r="H63" s="42"/>
      <c r="I63" s="43"/>
      <c r="J63" s="43"/>
      <c r="K63" s="43"/>
      <c r="L63" s="43"/>
    </row>
    <row r="64" spans="7:12" x14ac:dyDescent="0.3">
      <c r="G64" s="42"/>
      <c r="H64" s="42"/>
      <c r="I64" s="43"/>
      <c r="J64" s="43"/>
      <c r="K64" s="43"/>
      <c r="L64" s="43"/>
    </row>
    <row r="65" spans="7:12" x14ac:dyDescent="0.3">
      <c r="G65" s="42"/>
      <c r="H65" s="42"/>
      <c r="I65" s="43"/>
      <c r="J65" s="43"/>
      <c r="K65" s="43"/>
      <c r="L65" s="43"/>
    </row>
    <row r="66" spans="7:12" x14ac:dyDescent="0.3">
      <c r="G66" s="42"/>
      <c r="H66" s="42"/>
      <c r="I66" s="43"/>
      <c r="J66" s="43"/>
      <c r="K66" s="43"/>
      <c r="L66" s="43"/>
    </row>
    <row r="67" spans="7:12" x14ac:dyDescent="0.3">
      <c r="G67" s="42"/>
      <c r="H67" s="42"/>
      <c r="I67" s="43"/>
      <c r="J67" s="43"/>
      <c r="K67" s="43"/>
      <c r="L67" s="43"/>
    </row>
    <row r="68" spans="7:12" x14ac:dyDescent="0.3">
      <c r="G68" s="42"/>
      <c r="H68" s="42"/>
      <c r="I68" s="43"/>
      <c r="J68" s="43"/>
      <c r="K68" s="43"/>
      <c r="L68" s="43"/>
    </row>
    <row r="69" spans="7:12" x14ac:dyDescent="0.3">
      <c r="G69" s="42"/>
      <c r="H69" s="42"/>
      <c r="I69" s="43"/>
      <c r="J69" s="43"/>
      <c r="K69" s="43"/>
      <c r="L69" s="43"/>
    </row>
    <row r="70" spans="7:12" x14ac:dyDescent="0.3">
      <c r="G70" s="42"/>
      <c r="H70" s="42"/>
      <c r="I70" s="43"/>
      <c r="J70" s="43"/>
      <c r="K70" s="43"/>
      <c r="L70" s="43"/>
    </row>
    <row r="71" spans="7:12" x14ac:dyDescent="0.3">
      <c r="G71" s="42"/>
      <c r="H71" s="42"/>
      <c r="I71" s="43"/>
      <c r="J71" s="43"/>
      <c r="K71" s="43"/>
      <c r="L71" s="43"/>
    </row>
    <row r="72" spans="7:12" x14ac:dyDescent="0.3">
      <c r="G72" s="42"/>
      <c r="H72" s="42"/>
      <c r="I72" s="43"/>
      <c r="J72" s="43"/>
      <c r="K72" s="43"/>
      <c r="L72" s="43"/>
    </row>
    <row r="73" spans="7:12" x14ac:dyDescent="0.3">
      <c r="G73" s="42"/>
      <c r="H73" s="42"/>
      <c r="I73" s="43"/>
      <c r="J73" s="43"/>
      <c r="K73" s="43"/>
      <c r="L73" s="43"/>
    </row>
    <row r="74" spans="7:12" x14ac:dyDescent="0.3">
      <c r="G74" s="42"/>
      <c r="H74" s="42"/>
      <c r="I74" s="43"/>
      <c r="J74" s="43"/>
      <c r="K74" s="43"/>
      <c r="L74" s="43"/>
    </row>
    <row r="75" spans="7:12" x14ac:dyDescent="0.3">
      <c r="G75" s="42"/>
      <c r="H75" s="42"/>
      <c r="I75" s="43"/>
      <c r="J75" s="43"/>
      <c r="K75" s="43"/>
      <c r="L75" s="43"/>
    </row>
    <row r="76" spans="7:12" x14ac:dyDescent="0.3">
      <c r="G76" s="42"/>
      <c r="H76" s="42"/>
      <c r="I76" s="43"/>
      <c r="J76" s="43"/>
      <c r="K76" s="43"/>
      <c r="L76" s="43"/>
    </row>
    <row r="77" spans="7:12" x14ac:dyDescent="0.3">
      <c r="G77" s="42"/>
      <c r="H77" s="42"/>
      <c r="I77" s="43"/>
      <c r="J77" s="43"/>
      <c r="K77" s="43"/>
      <c r="L77" s="43"/>
    </row>
    <row r="78" spans="7:12" x14ac:dyDescent="0.3">
      <c r="G78" s="42"/>
      <c r="H78" s="42"/>
      <c r="I78" s="43"/>
      <c r="J78" s="43"/>
      <c r="K78" s="43"/>
      <c r="L78" s="43"/>
    </row>
    <row r="79" spans="7:12" x14ac:dyDescent="0.3">
      <c r="G79" s="42"/>
      <c r="H79" s="42"/>
      <c r="I79" s="43"/>
      <c r="J79" s="43"/>
      <c r="K79" s="43"/>
      <c r="L79" s="43"/>
    </row>
    <row r="80" spans="7:12" x14ac:dyDescent="0.3">
      <c r="G80" s="42"/>
      <c r="H80" s="42"/>
      <c r="I80" s="43"/>
      <c r="J80" s="43"/>
      <c r="K80" s="43"/>
      <c r="L80" s="43"/>
    </row>
    <row r="81" spans="7:12" x14ac:dyDescent="0.3">
      <c r="G81" s="42"/>
      <c r="H81" s="42"/>
      <c r="I81" s="43"/>
      <c r="J81" s="43"/>
      <c r="K81" s="43"/>
      <c r="L81" s="43"/>
    </row>
    <row r="82" spans="7:12" x14ac:dyDescent="0.3">
      <c r="G82" s="42"/>
      <c r="H82" s="42"/>
      <c r="I82" s="43"/>
      <c r="J82" s="43"/>
      <c r="K82" s="43"/>
      <c r="L82" s="43"/>
    </row>
    <row r="83" spans="7:12" x14ac:dyDescent="0.3">
      <c r="G83" s="42"/>
      <c r="H83" s="42"/>
      <c r="I83" s="43"/>
      <c r="J83" s="43"/>
      <c r="K83" s="43"/>
      <c r="L83" s="43"/>
    </row>
    <row r="84" spans="7:12" x14ac:dyDescent="0.3">
      <c r="G84" s="42"/>
      <c r="H84" s="42"/>
      <c r="I84" s="43"/>
      <c r="J84" s="43"/>
      <c r="K84" s="43"/>
      <c r="L84" s="43"/>
    </row>
    <row r="85" spans="7:12" x14ac:dyDescent="0.3">
      <c r="G85" s="42"/>
      <c r="H85" s="42"/>
      <c r="I85" s="43"/>
      <c r="J85" s="43"/>
      <c r="K85" s="43"/>
      <c r="L85" s="43"/>
    </row>
    <row r="86" spans="7:12" x14ac:dyDescent="0.3">
      <c r="G86" s="42"/>
      <c r="H86" s="42"/>
      <c r="I86" s="43"/>
      <c r="J86" s="43"/>
      <c r="K86" s="43"/>
      <c r="L86" s="43"/>
    </row>
    <row r="87" spans="7:12" x14ac:dyDescent="0.3">
      <c r="G87" s="42"/>
      <c r="H87" s="42"/>
      <c r="I87" s="43"/>
      <c r="J87" s="43"/>
      <c r="K87" s="43"/>
      <c r="L87" s="43"/>
    </row>
    <row r="88" spans="7:12" x14ac:dyDescent="0.3">
      <c r="G88" s="42"/>
      <c r="H88" s="42"/>
      <c r="I88" s="43"/>
      <c r="J88" s="43"/>
      <c r="K88" s="43"/>
      <c r="L88" s="43"/>
    </row>
    <row r="89" spans="7:12" x14ac:dyDescent="0.3">
      <c r="G89" s="42"/>
      <c r="H89" s="42"/>
      <c r="I89" s="43"/>
      <c r="J89" s="43"/>
      <c r="K89" s="43"/>
      <c r="L89" s="43"/>
    </row>
    <row r="90" spans="7:12" x14ac:dyDescent="0.3">
      <c r="G90" s="42"/>
      <c r="H90" s="42"/>
      <c r="I90" s="43"/>
      <c r="J90" s="43"/>
      <c r="K90" s="43"/>
      <c r="L90" s="43"/>
    </row>
    <row r="91" spans="7:12" x14ac:dyDescent="0.3">
      <c r="G91" s="42"/>
      <c r="H91" s="42"/>
      <c r="I91" s="43"/>
      <c r="J91" s="43"/>
      <c r="K91" s="43"/>
      <c r="L91" s="43"/>
    </row>
    <row r="92" spans="7:12" x14ac:dyDescent="0.3">
      <c r="G92" s="42"/>
      <c r="H92" s="42"/>
      <c r="I92" s="43"/>
      <c r="J92" s="43"/>
      <c r="K92" s="43"/>
      <c r="L92" s="43"/>
    </row>
    <row r="93" spans="7:12" x14ac:dyDescent="0.3">
      <c r="G93" s="42"/>
      <c r="H93" s="42"/>
      <c r="I93" s="43"/>
      <c r="J93" s="43"/>
      <c r="K93" s="43"/>
      <c r="L93" s="43"/>
    </row>
    <row r="94" spans="7:12" x14ac:dyDescent="0.3">
      <c r="G94" s="42"/>
      <c r="H94" s="42"/>
      <c r="I94" s="43"/>
      <c r="J94" s="43"/>
      <c r="K94" s="43"/>
      <c r="L94" s="43"/>
    </row>
    <row r="95" spans="7:12" x14ac:dyDescent="0.3">
      <c r="G95" s="42"/>
      <c r="H95" s="42"/>
      <c r="I95" s="43"/>
      <c r="J95" s="43"/>
      <c r="K95" s="43"/>
      <c r="L95" s="43"/>
    </row>
    <row r="96" spans="7:12" x14ac:dyDescent="0.3">
      <c r="G96" s="42"/>
      <c r="H96" s="42"/>
      <c r="I96" s="43"/>
      <c r="J96" s="43"/>
      <c r="K96" s="43"/>
      <c r="L96" s="43"/>
    </row>
    <row r="97" spans="7:12" x14ac:dyDescent="0.3">
      <c r="G97" s="42"/>
      <c r="H97" s="42"/>
      <c r="I97" s="43"/>
      <c r="J97" s="43"/>
      <c r="K97" s="43"/>
      <c r="L97" s="43"/>
    </row>
    <row r="98" spans="7:12" x14ac:dyDescent="0.3">
      <c r="G98" s="42"/>
      <c r="H98" s="42"/>
      <c r="I98" s="43"/>
      <c r="J98" s="43"/>
      <c r="K98" s="43"/>
      <c r="L98" s="43"/>
    </row>
    <row r="99" spans="7:12" x14ac:dyDescent="0.3">
      <c r="G99" s="42"/>
      <c r="H99" s="42"/>
      <c r="I99" s="43"/>
      <c r="J99" s="43"/>
      <c r="K99" s="43"/>
      <c r="L99" s="43"/>
    </row>
    <row r="100" spans="7:12" x14ac:dyDescent="0.3">
      <c r="G100" s="42"/>
      <c r="H100" s="42"/>
      <c r="I100" s="43"/>
      <c r="J100" s="43"/>
      <c r="K100" s="43"/>
      <c r="L100" s="43"/>
    </row>
    <row r="101" spans="7:12" x14ac:dyDescent="0.3">
      <c r="G101" s="42"/>
      <c r="H101" s="42"/>
      <c r="I101" s="43"/>
      <c r="J101" s="43"/>
      <c r="K101" s="43"/>
      <c r="L101" s="43"/>
    </row>
    <row r="102" spans="7:12" x14ac:dyDescent="0.3">
      <c r="G102" s="42"/>
      <c r="H102" s="42"/>
      <c r="I102" s="43"/>
      <c r="J102" s="43"/>
      <c r="K102" s="43"/>
      <c r="L102" s="43"/>
    </row>
    <row r="103" spans="7:12" x14ac:dyDescent="0.3">
      <c r="G103" s="42"/>
      <c r="H103" s="42"/>
      <c r="I103" s="43"/>
      <c r="J103" s="43"/>
      <c r="K103" s="43"/>
      <c r="L103" s="43"/>
    </row>
    <row r="104" spans="7:12" x14ac:dyDescent="0.3">
      <c r="G104" s="42"/>
      <c r="H104" s="42"/>
      <c r="I104" s="43"/>
      <c r="J104" s="43"/>
      <c r="K104" s="43"/>
      <c r="L104" s="43"/>
    </row>
    <row r="105" spans="7:12" x14ac:dyDescent="0.3">
      <c r="G105" s="42"/>
      <c r="H105" s="42"/>
      <c r="I105" s="43"/>
      <c r="J105" s="43"/>
      <c r="K105" s="43"/>
      <c r="L105" s="43"/>
    </row>
    <row r="106" spans="7:12" x14ac:dyDescent="0.3">
      <c r="G106" s="42"/>
      <c r="H106" s="42"/>
      <c r="I106" s="43"/>
      <c r="J106" s="43"/>
      <c r="K106" s="43"/>
      <c r="L106" s="43"/>
    </row>
    <row r="107" spans="7:12" x14ac:dyDescent="0.3">
      <c r="G107" s="42"/>
      <c r="H107" s="42"/>
      <c r="I107" s="43"/>
      <c r="J107" s="43"/>
      <c r="K107" s="43"/>
      <c r="L107" s="43"/>
    </row>
    <row r="108" spans="7:12" x14ac:dyDescent="0.3">
      <c r="G108" s="42"/>
      <c r="H108" s="42"/>
      <c r="I108" s="43"/>
      <c r="J108" s="43"/>
      <c r="K108" s="43"/>
      <c r="L108" s="43"/>
    </row>
    <row r="109" spans="7:12" x14ac:dyDescent="0.3">
      <c r="G109" s="42"/>
      <c r="H109" s="42"/>
      <c r="I109" s="43"/>
      <c r="J109" s="43"/>
      <c r="K109" s="43"/>
      <c r="L109" s="43"/>
    </row>
    <row r="110" spans="7:12" x14ac:dyDescent="0.3">
      <c r="G110" s="42"/>
      <c r="H110" s="42"/>
      <c r="I110" s="43"/>
      <c r="J110" s="43"/>
      <c r="K110" s="43"/>
      <c r="L110" s="43"/>
    </row>
    <row r="111" spans="7:12" x14ac:dyDescent="0.3">
      <c r="G111" s="42"/>
      <c r="H111" s="42"/>
      <c r="I111" s="43"/>
      <c r="J111" s="43"/>
      <c r="K111" s="43"/>
      <c r="L111" s="43"/>
    </row>
    <row r="112" spans="7:12" x14ac:dyDescent="0.3">
      <c r="G112" s="42"/>
      <c r="H112" s="42"/>
      <c r="I112" s="43"/>
      <c r="J112" s="43"/>
      <c r="K112" s="43"/>
      <c r="L112" s="43"/>
    </row>
    <row r="113" spans="7:12" x14ac:dyDescent="0.3">
      <c r="G113" s="42"/>
      <c r="H113" s="42"/>
      <c r="I113" s="43"/>
      <c r="J113" s="43"/>
      <c r="K113" s="43"/>
      <c r="L113" s="43"/>
    </row>
    <row r="114" spans="7:12" x14ac:dyDescent="0.3">
      <c r="G114" s="42"/>
      <c r="H114" s="42"/>
      <c r="I114" s="43"/>
      <c r="J114" s="43"/>
      <c r="K114" s="43"/>
      <c r="L114" s="43"/>
    </row>
    <row r="115" spans="7:12" x14ac:dyDescent="0.3">
      <c r="G115" s="42"/>
      <c r="H115" s="42"/>
      <c r="I115" s="43"/>
      <c r="J115" s="43"/>
      <c r="K115" s="43"/>
      <c r="L115" s="43"/>
    </row>
    <row r="116" spans="7:12" x14ac:dyDescent="0.3">
      <c r="G116" s="42"/>
      <c r="H116" s="42"/>
      <c r="I116" s="43"/>
      <c r="J116" s="43"/>
      <c r="K116" s="43"/>
      <c r="L116" s="43"/>
    </row>
    <row r="117" spans="7:12" x14ac:dyDescent="0.3">
      <c r="G117" s="42"/>
      <c r="H117" s="42"/>
      <c r="I117" s="43"/>
      <c r="J117" s="43"/>
      <c r="K117" s="43"/>
      <c r="L117" s="43"/>
    </row>
    <row r="118" spans="7:12" x14ac:dyDescent="0.3">
      <c r="G118" s="42"/>
      <c r="H118" s="42"/>
      <c r="I118" s="43"/>
      <c r="J118" s="43"/>
      <c r="K118" s="43"/>
      <c r="L118" s="43"/>
    </row>
    <row r="119" spans="7:12" x14ac:dyDescent="0.3">
      <c r="G119" s="42"/>
      <c r="H119" s="42"/>
      <c r="I119" s="43"/>
      <c r="J119" s="43"/>
      <c r="K119" s="43"/>
      <c r="L119" s="43"/>
    </row>
    <row r="120" spans="7:12" x14ac:dyDescent="0.3">
      <c r="G120" s="42"/>
      <c r="H120" s="42"/>
      <c r="I120" s="43"/>
      <c r="J120" s="43"/>
      <c r="K120" s="43"/>
      <c r="L120" s="43"/>
    </row>
    <row r="121" spans="7:12" x14ac:dyDescent="0.3">
      <c r="G121" s="42"/>
      <c r="H121" s="42"/>
      <c r="I121" s="43"/>
      <c r="J121" s="43"/>
      <c r="K121" s="43"/>
      <c r="L121" s="43"/>
    </row>
    <row r="122" spans="7:12" x14ac:dyDescent="0.3">
      <c r="G122" s="42"/>
      <c r="H122" s="42"/>
      <c r="I122" s="43"/>
      <c r="J122" s="43"/>
      <c r="K122" s="43"/>
      <c r="L122" s="43"/>
    </row>
    <row r="123" spans="7:12" x14ac:dyDescent="0.3">
      <c r="G123" s="42"/>
      <c r="H123" s="42"/>
      <c r="I123" s="43"/>
      <c r="J123" s="43"/>
      <c r="K123" s="43"/>
      <c r="L123" s="43"/>
    </row>
    <row r="124" spans="7:12" x14ac:dyDescent="0.3">
      <c r="G124" s="42"/>
      <c r="H124" s="42"/>
      <c r="I124" s="43"/>
      <c r="J124" s="43"/>
      <c r="K124" s="43"/>
      <c r="L124" s="43"/>
    </row>
    <row r="125" spans="7:12" x14ac:dyDescent="0.3">
      <c r="G125" s="42"/>
      <c r="H125" s="42"/>
      <c r="I125" s="43"/>
      <c r="J125" s="43"/>
      <c r="K125" s="43"/>
      <c r="L125" s="43"/>
    </row>
    <row r="126" spans="7:12" x14ac:dyDescent="0.3">
      <c r="G126" s="42"/>
      <c r="H126" s="42"/>
      <c r="I126" s="43"/>
      <c r="J126" s="43"/>
      <c r="K126" s="43"/>
      <c r="L126" s="43"/>
    </row>
    <row r="127" spans="7:12" x14ac:dyDescent="0.3">
      <c r="G127" s="42"/>
      <c r="H127" s="42"/>
      <c r="I127" s="43"/>
      <c r="J127" s="43"/>
      <c r="K127" s="43"/>
      <c r="L127" s="43"/>
    </row>
    <row r="128" spans="7:12" x14ac:dyDescent="0.3">
      <c r="G128" s="42"/>
      <c r="H128" s="42"/>
      <c r="I128" s="43"/>
      <c r="J128" s="43"/>
      <c r="K128" s="43"/>
      <c r="L128" s="43"/>
    </row>
    <row r="129" spans="7:12" x14ac:dyDescent="0.3">
      <c r="G129" s="42"/>
      <c r="H129" s="42"/>
      <c r="I129" s="43"/>
      <c r="J129" s="43"/>
      <c r="K129" s="43"/>
      <c r="L129" s="43"/>
    </row>
    <row r="130" spans="7:12" x14ac:dyDescent="0.3">
      <c r="G130" s="42"/>
      <c r="H130" s="42"/>
      <c r="I130" s="43"/>
      <c r="J130" s="43"/>
      <c r="K130" s="43"/>
      <c r="L130" s="43"/>
    </row>
    <row r="131" spans="7:12" x14ac:dyDescent="0.3">
      <c r="G131" s="42"/>
      <c r="H131" s="42"/>
      <c r="I131" s="43"/>
      <c r="J131" s="43"/>
      <c r="K131" s="43"/>
      <c r="L131" s="43"/>
    </row>
    <row r="132" spans="7:12" x14ac:dyDescent="0.3">
      <c r="G132" s="42"/>
      <c r="H132" s="42"/>
      <c r="I132" s="43"/>
      <c r="J132" s="43"/>
      <c r="K132" s="43"/>
      <c r="L132" s="43"/>
    </row>
    <row r="133" spans="7:12" x14ac:dyDescent="0.3">
      <c r="G133" s="42"/>
      <c r="H133" s="42"/>
      <c r="I133" s="43"/>
      <c r="J133" s="43"/>
      <c r="K133" s="43"/>
      <c r="L133" s="43"/>
    </row>
    <row r="134" spans="7:12" x14ac:dyDescent="0.3">
      <c r="G134" s="42"/>
      <c r="H134" s="42"/>
      <c r="I134" s="43"/>
      <c r="J134" s="43"/>
      <c r="K134" s="43"/>
      <c r="L134" s="43"/>
    </row>
    <row r="135" spans="7:12" x14ac:dyDescent="0.3">
      <c r="G135" s="42"/>
      <c r="H135" s="42"/>
      <c r="I135" s="43"/>
      <c r="J135" s="43"/>
      <c r="K135" s="43"/>
      <c r="L135" s="43"/>
    </row>
    <row r="136" spans="7:12" x14ac:dyDescent="0.3">
      <c r="G136" s="42"/>
      <c r="H136" s="42"/>
      <c r="I136" s="43"/>
      <c r="J136" s="43"/>
      <c r="K136" s="43"/>
      <c r="L136" s="43"/>
    </row>
    <row r="137" spans="7:12" x14ac:dyDescent="0.3">
      <c r="G137" s="42"/>
      <c r="H137" s="42"/>
      <c r="I137" s="43"/>
      <c r="J137" s="43"/>
      <c r="K137" s="43"/>
      <c r="L137" s="43"/>
    </row>
    <row r="138" spans="7:12" x14ac:dyDescent="0.3">
      <c r="G138" s="42"/>
      <c r="H138" s="42"/>
      <c r="I138" s="43"/>
      <c r="J138" s="43"/>
      <c r="K138" s="43"/>
      <c r="L138" s="43"/>
    </row>
    <row r="139" spans="7:12" x14ac:dyDescent="0.3">
      <c r="G139" s="42"/>
      <c r="H139" s="42"/>
      <c r="I139" s="43"/>
      <c r="J139" s="43"/>
      <c r="K139" s="43"/>
      <c r="L139" s="43"/>
    </row>
    <row r="140" spans="7:12" x14ac:dyDescent="0.3">
      <c r="G140" s="42"/>
      <c r="H140" s="42"/>
      <c r="I140" s="43"/>
      <c r="J140" s="43"/>
      <c r="K140" s="43"/>
      <c r="L140" s="43"/>
    </row>
    <row r="141" spans="7:12" x14ac:dyDescent="0.3">
      <c r="G141" s="42"/>
      <c r="H141" s="42"/>
      <c r="I141" s="43"/>
      <c r="J141" s="43"/>
      <c r="K141" s="43"/>
      <c r="L141" s="43"/>
    </row>
    <row r="142" spans="7:12" x14ac:dyDescent="0.3">
      <c r="G142" s="42"/>
      <c r="H142" s="42"/>
      <c r="I142" s="43"/>
      <c r="J142" s="43"/>
      <c r="K142" s="43"/>
      <c r="L142" s="43"/>
    </row>
    <row r="143" spans="7:12" x14ac:dyDescent="0.3">
      <c r="G143" s="42"/>
      <c r="H143" s="42"/>
      <c r="I143" s="43"/>
      <c r="J143" s="43"/>
      <c r="K143" s="43"/>
      <c r="L143" s="43"/>
    </row>
    <row r="144" spans="7:12" x14ac:dyDescent="0.3">
      <c r="G144" s="42"/>
      <c r="H144" s="42"/>
      <c r="I144" s="43"/>
      <c r="J144" s="43"/>
      <c r="K144" s="43"/>
      <c r="L144" s="43"/>
    </row>
    <row r="145" spans="7:12" x14ac:dyDescent="0.3">
      <c r="G145" s="42"/>
      <c r="H145" s="42"/>
      <c r="I145" s="43"/>
      <c r="J145" s="43"/>
      <c r="K145" s="43"/>
      <c r="L145" s="43"/>
    </row>
    <row r="146" spans="7:12" x14ac:dyDescent="0.3">
      <c r="G146" s="42"/>
      <c r="H146" s="42"/>
      <c r="I146" s="43"/>
      <c r="J146" s="43"/>
      <c r="K146" s="43"/>
      <c r="L146" s="43"/>
    </row>
    <row r="147" spans="7:12" x14ac:dyDescent="0.3">
      <c r="G147" s="42"/>
      <c r="H147" s="42"/>
      <c r="I147" s="43"/>
      <c r="J147" s="43"/>
      <c r="K147" s="43"/>
      <c r="L147" s="43"/>
    </row>
    <row r="148" spans="7:12" x14ac:dyDescent="0.3">
      <c r="G148" s="42"/>
      <c r="H148" s="42"/>
      <c r="I148" s="43"/>
      <c r="J148" s="43"/>
      <c r="K148" s="43"/>
      <c r="L148" s="43"/>
    </row>
    <row r="149" spans="7:12" x14ac:dyDescent="0.3">
      <c r="G149" s="42"/>
      <c r="H149" s="42"/>
      <c r="I149" s="43"/>
      <c r="J149" s="43"/>
      <c r="K149" s="43"/>
      <c r="L149" s="43"/>
    </row>
    <row r="150" spans="7:12" x14ac:dyDescent="0.3">
      <c r="G150" s="42"/>
      <c r="H150" s="42"/>
      <c r="I150" s="43"/>
      <c r="J150" s="43"/>
      <c r="K150" s="43"/>
      <c r="L150" s="43"/>
    </row>
    <row r="151" spans="7:12" x14ac:dyDescent="0.3">
      <c r="G151" s="42"/>
      <c r="H151" s="42"/>
      <c r="I151" s="43"/>
      <c r="J151" s="43"/>
      <c r="K151" s="43"/>
      <c r="L151" s="43"/>
    </row>
    <row r="152" spans="7:12" x14ac:dyDescent="0.3">
      <c r="G152" s="42"/>
      <c r="H152" s="42"/>
      <c r="I152" s="43"/>
      <c r="J152" s="43"/>
      <c r="K152" s="43"/>
      <c r="L152" s="43"/>
    </row>
    <row r="153" spans="7:12" x14ac:dyDescent="0.3">
      <c r="G153" s="42"/>
      <c r="H153" s="42"/>
      <c r="I153" s="43"/>
      <c r="J153" s="43"/>
      <c r="K153" s="43"/>
      <c r="L153" s="43"/>
    </row>
    <row r="154" spans="7:12" x14ac:dyDescent="0.3">
      <c r="G154" s="42"/>
      <c r="H154" s="42"/>
      <c r="I154" s="43"/>
      <c r="J154" s="43"/>
      <c r="K154" s="43"/>
      <c r="L154" s="43"/>
    </row>
    <row r="155" spans="7:12" x14ac:dyDescent="0.3">
      <c r="G155" s="42"/>
      <c r="H155" s="42"/>
      <c r="I155" s="43"/>
      <c r="J155" s="43"/>
      <c r="K155" s="43"/>
      <c r="L155" s="43"/>
    </row>
    <row r="156" spans="7:12" x14ac:dyDescent="0.3">
      <c r="G156" s="42"/>
      <c r="H156" s="42"/>
      <c r="I156" s="43"/>
      <c r="J156" s="43"/>
      <c r="K156" s="43"/>
      <c r="L156" s="43"/>
    </row>
    <row r="157" spans="7:12" x14ac:dyDescent="0.3">
      <c r="G157" s="42"/>
      <c r="H157" s="42"/>
      <c r="I157" s="43"/>
      <c r="J157" s="43"/>
      <c r="K157" s="43"/>
      <c r="L157" s="43"/>
    </row>
    <row r="158" spans="7:12" x14ac:dyDescent="0.3">
      <c r="G158" s="42"/>
      <c r="H158" s="42"/>
      <c r="I158" s="43"/>
      <c r="J158" s="43"/>
      <c r="K158" s="43"/>
      <c r="L158" s="43"/>
    </row>
    <row r="159" spans="7:12" x14ac:dyDescent="0.3">
      <c r="G159" s="42"/>
      <c r="H159" s="42"/>
      <c r="I159" s="43"/>
      <c r="J159" s="43"/>
      <c r="K159" s="43"/>
      <c r="L159" s="43"/>
    </row>
    <row r="160" spans="7:12" x14ac:dyDescent="0.3">
      <c r="G160" s="42"/>
      <c r="H160" s="42"/>
      <c r="I160" s="43"/>
      <c r="J160" s="43"/>
      <c r="K160" s="43"/>
      <c r="L160" s="43"/>
    </row>
    <row r="161" spans="7:12" x14ac:dyDescent="0.3">
      <c r="G161" s="42"/>
      <c r="H161" s="42"/>
      <c r="I161" s="43"/>
      <c r="J161" s="43"/>
      <c r="K161" s="43"/>
      <c r="L161" s="43"/>
    </row>
    <row r="162" spans="7:12" x14ac:dyDescent="0.3">
      <c r="G162" s="42"/>
      <c r="H162" s="42"/>
      <c r="I162" s="43"/>
      <c r="J162" s="43"/>
      <c r="K162" s="43"/>
      <c r="L162" s="43"/>
    </row>
    <row r="163" spans="7:12" x14ac:dyDescent="0.3">
      <c r="G163" s="42"/>
      <c r="H163" s="42"/>
      <c r="I163" s="43"/>
      <c r="J163" s="43"/>
      <c r="K163" s="43"/>
      <c r="L163" s="43"/>
    </row>
    <row r="164" spans="7:12" x14ac:dyDescent="0.3">
      <c r="G164" s="42"/>
      <c r="H164" s="42"/>
      <c r="I164" s="43"/>
      <c r="J164" s="43"/>
      <c r="K164" s="43"/>
      <c r="L164" s="43"/>
    </row>
    <row r="165" spans="7:12" x14ac:dyDescent="0.3">
      <c r="G165" s="42"/>
      <c r="H165" s="42"/>
      <c r="I165" s="43"/>
      <c r="J165" s="43"/>
      <c r="K165" s="43"/>
      <c r="L165" s="43"/>
    </row>
    <row r="166" spans="7:12" x14ac:dyDescent="0.3">
      <c r="G166" s="42"/>
      <c r="H166" s="42"/>
      <c r="I166" s="43"/>
      <c r="J166" s="43"/>
      <c r="K166" s="43"/>
      <c r="L166" s="43"/>
    </row>
    <row r="167" spans="7:12" x14ac:dyDescent="0.3">
      <c r="G167" s="42"/>
      <c r="H167" s="42"/>
      <c r="I167" s="43"/>
      <c r="J167" s="43"/>
      <c r="K167" s="43"/>
      <c r="L167" s="43"/>
    </row>
    <row r="168" spans="7:12" x14ac:dyDescent="0.3">
      <c r="G168" s="42"/>
      <c r="H168" s="42"/>
      <c r="I168" s="43"/>
      <c r="J168" s="43"/>
      <c r="K168" s="43"/>
      <c r="L168" s="43"/>
    </row>
    <row r="169" spans="7:12" x14ac:dyDescent="0.3">
      <c r="G169" s="42"/>
      <c r="H169" s="42"/>
      <c r="I169" s="43"/>
      <c r="J169" s="43"/>
      <c r="K169" s="43"/>
      <c r="L169" s="43"/>
    </row>
    <row r="170" spans="7:12" x14ac:dyDescent="0.3">
      <c r="G170" s="42"/>
      <c r="H170" s="42"/>
      <c r="I170" s="43"/>
      <c r="J170" s="43"/>
      <c r="K170" s="43"/>
      <c r="L170" s="43"/>
    </row>
    <row r="171" spans="7:12" x14ac:dyDescent="0.3">
      <c r="G171" s="42"/>
      <c r="H171" s="42"/>
      <c r="I171" s="43"/>
      <c r="J171" s="43"/>
      <c r="K171" s="43"/>
      <c r="L171" s="43"/>
    </row>
    <row r="172" spans="7:12" x14ac:dyDescent="0.3">
      <c r="G172" s="42"/>
      <c r="H172" s="42"/>
      <c r="I172" s="43"/>
      <c r="J172" s="43"/>
      <c r="K172" s="43"/>
      <c r="L172" s="43"/>
    </row>
    <row r="173" spans="7:12" x14ac:dyDescent="0.3">
      <c r="G173" s="42"/>
      <c r="H173" s="42"/>
      <c r="I173" s="43"/>
      <c r="J173" s="43"/>
      <c r="K173" s="43"/>
      <c r="L173" s="43"/>
    </row>
    <row r="174" spans="7:12" x14ac:dyDescent="0.3">
      <c r="G174" s="42"/>
      <c r="H174" s="42"/>
      <c r="I174" s="43"/>
      <c r="J174" s="43"/>
      <c r="K174" s="43"/>
      <c r="L174" s="43"/>
    </row>
    <row r="175" spans="7:12" x14ac:dyDescent="0.3">
      <c r="G175" s="42"/>
      <c r="H175" s="42"/>
      <c r="I175" s="43"/>
      <c r="J175" s="43"/>
      <c r="K175" s="43"/>
      <c r="L175" s="43"/>
    </row>
    <row r="176" spans="7:12" x14ac:dyDescent="0.3">
      <c r="G176" s="42"/>
      <c r="H176" s="42"/>
      <c r="I176" s="43"/>
      <c r="J176" s="43"/>
      <c r="K176" s="43"/>
      <c r="L176" s="43"/>
    </row>
    <row r="177" spans="7:12" x14ac:dyDescent="0.3">
      <c r="G177" s="42"/>
      <c r="H177" s="42"/>
      <c r="I177" s="43"/>
      <c r="J177" s="43"/>
      <c r="K177" s="43"/>
      <c r="L177" s="43"/>
    </row>
    <row r="178" spans="7:12" x14ac:dyDescent="0.3">
      <c r="G178" s="42"/>
      <c r="H178" s="42"/>
      <c r="I178" s="43"/>
      <c r="J178" s="43"/>
      <c r="K178" s="43"/>
      <c r="L178" s="43"/>
    </row>
    <row r="179" spans="7:12" x14ac:dyDescent="0.3">
      <c r="G179" s="42"/>
      <c r="H179" s="42"/>
      <c r="I179" s="43"/>
      <c r="J179" s="43"/>
      <c r="K179" s="43"/>
      <c r="L179" s="43"/>
    </row>
    <row r="180" spans="7:12" x14ac:dyDescent="0.3">
      <c r="G180" s="42"/>
      <c r="H180" s="42"/>
      <c r="I180" s="43"/>
      <c r="J180" s="43"/>
      <c r="K180" s="43"/>
      <c r="L180" s="43"/>
    </row>
    <row r="181" spans="7:12" x14ac:dyDescent="0.3">
      <c r="G181" s="42"/>
      <c r="H181" s="42"/>
      <c r="I181" s="43"/>
      <c r="J181" s="43"/>
      <c r="K181" s="43"/>
      <c r="L181" s="43"/>
    </row>
    <row r="182" spans="7:12" x14ac:dyDescent="0.3">
      <c r="G182" s="42"/>
      <c r="H182" s="42"/>
      <c r="I182" s="43"/>
      <c r="J182" s="43"/>
      <c r="K182" s="43"/>
      <c r="L182" s="43"/>
    </row>
    <row r="183" spans="7:12" x14ac:dyDescent="0.3">
      <c r="G183" s="42"/>
      <c r="H183" s="42"/>
      <c r="I183" s="43"/>
      <c r="J183" s="43"/>
      <c r="K183" s="43"/>
      <c r="L183" s="43"/>
    </row>
    <row r="184" spans="7:12" x14ac:dyDescent="0.3">
      <c r="G184" s="42"/>
      <c r="H184" s="42"/>
      <c r="I184" s="43"/>
      <c r="J184" s="43"/>
      <c r="K184" s="43"/>
      <c r="L184" s="43"/>
    </row>
    <row r="185" spans="7:12" x14ac:dyDescent="0.3">
      <c r="G185" s="42"/>
      <c r="H185" s="42"/>
      <c r="I185" s="43"/>
      <c r="J185" s="43"/>
      <c r="K185" s="43"/>
      <c r="L185" s="43"/>
    </row>
    <row r="186" spans="7:12" x14ac:dyDescent="0.3">
      <c r="G186" s="42"/>
      <c r="H186" s="42"/>
      <c r="I186" s="43"/>
      <c r="J186" s="43"/>
      <c r="K186" s="43"/>
      <c r="L186" s="43"/>
    </row>
    <row r="187" spans="7:12" x14ac:dyDescent="0.3">
      <c r="G187" s="42"/>
      <c r="H187" s="42"/>
      <c r="I187" s="43"/>
      <c r="J187" s="43"/>
      <c r="K187" s="43"/>
      <c r="L187" s="43"/>
    </row>
    <row r="188" spans="7:12" x14ac:dyDescent="0.3">
      <c r="G188" s="42"/>
      <c r="H188" s="42"/>
      <c r="I188" s="43"/>
      <c r="J188" s="43"/>
      <c r="K188" s="43"/>
      <c r="L188" s="43"/>
    </row>
    <row r="189" spans="7:12" x14ac:dyDescent="0.3">
      <c r="G189" s="42"/>
      <c r="H189" s="42"/>
      <c r="I189" s="43"/>
      <c r="J189" s="43"/>
      <c r="K189" s="43"/>
      <c r="L189" s="43"/>
    </row>
    <row r="190" spans="7:12" x14ac:dyDescent="0.3">
      <c r="G190" s="42"/>
      <c r="H190" s="42"/>
      <c r="I190" s="43"/>
      <c r="J190" s="43"/>
      <c r="K190" s="43"/>
      <c r="L190" s="43"/>
    </row>
    <row r="191" spans="7:12" x14ac:dyDescent="0.3">
      <c r="G191" s="42"/>
      <c r="H191" s="42"/>
      <c r="I191" s="43"/>
      <c r="J191" s="43"/>
      <c r="K191" s="43"/>
      <c r="L191" s="43"/>
    </row>
    <row r="192" spans="7:12" x14ac:dyDescent="0.3">
      <c r="G192" s="42"/>
      <c r="H192" s="42"/>
      <c r="I192" s="43"/>
      <c r="J192" s="43"/>
      <c r="K192" s="43"/>
      <c r="L192" s="43"/>
    </row>
    <row r="193" spans="7:12" x14ac:dyDescent="0.3">
      <c r="G193" s="42"/>
      <c r="H193" s="42"/>
      <c r="I193" s="43"/>
      <c r="J193" s="43"/>
      <c r="K193" s="43"/>
      <c r="L193" s="43"/>
    </row>
    <row r="194" spans="7:12" x14ac:dyDescent="0.3">
      <c r="G194" s="42"/>
      <c r="H194" s="42"/>
      <c r="I194" s="43"/>
      <c r="J194" s="43"/>
      <c r="K194" s="43"/>
      <c r="L194" s="43"/>
    </row>
    <row r="195" spans="7:12" x14ac:dyDescent="0.3">
      <c r="G195" s="42"/>
      <c r="H195" s="42"/>
      <c r="I195" s="43"/>
      <c r="J195" s="43"/>
      <c r="K195" s="43"/>
      <c r="L195" s="43"/>
    </row>
    <row r="196" spans="7:12" x14ac:dyDescent="0.3">
      <c r="G196" s="42"/>
      <c r="H196" s="42"/>
      <c r="I196" s="43"/>
      <c r="J196" s="43"/>
      <c r="K196" s="43"/>
      <c r="L196" s="43"/>
    </row>
    <row r="197" spans="7:12" x14ac:dyDescent="0.3">
      <c r="G197" s="42"/>
      <c r="H197" s="42"/>
      <c r="I197" s="43"/>
      <c r="J197" s="43"/>
      <c r="K197" s="43"/>
      <c r="L197" s="43"/>
    </row>
    <row r="198" spans="7:12" x14ac:dyDescent="0.3">
      <c r="G198" s="42"/>
      <c r="H198" s="42"/>
      <c r="I198" s="43"/>
      <c r="J198" s="43"/>
      <c r="K198" s="43"/>
      <c r="L198" s="43"/>
    </row>
    <row r="199" spans="7:12" x14ac:dyDescent="0.3">
      <c r="G199" s="42"/>
      <c r="H199" s="42"/>
      <c r="I199" s="43"/>
      <c r="J199" s="43"/>
      <c r="K199" s="43"/>
      <c r="L199" s="43"/>
    </row>
  </sheetData>
  <mergeCells count="5">
    <mergeCell ref="A24:M24"/>
    <mergeCell ref="A25:M25"/>
    <mergeCell ref="B3:D3"/>
    <mergeCell ref="B4:D4"/>
    <mergeCell ref="A1:M1"/>
  </mergeCells>
  <pageMargins left="0.7" right="0.7" top="0.75" bottom="0.75" header="0.3" footer="0.3"/>
  <pageSetup paperSize="9" orientation="portrait" horizontalDpi="360" verticalDpi="36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1920F-C946-4CAC-9340-D6D33DDB2DD7}">
  <sheetPr codeName="Sheet2"/>
  <dimension ref="A1:P200"/>
  <sheetViews>
    <sheetView tabSelected="1" topLeftCell="H1" zoomScale="55" zoomScaleNormal="55" workbookViewId="0">
      <selection activeCell="N5" sqref="N5"/>
    </sheetView>
  </sheetViews>
  <sheetFormatPr defaultRowHeight="14.4" x14ac:dyDescent="0.3"/>
  <cols>
    <col min="1" max="1" width="14.88671875" customWidth="1"/>
    <col min="2" max="2" width="54.5546875" customWidth="1"/>
    <col min="3" max="3" width="14.77734375" customWidth="1"/>
    <col min="4" max="4" width="14" customWidth="1"/>
    <col min="5" max="5" width="12.77734375" customWidth="1"/>
    <col min="6" max="6" width="14.109375" customWidth="1"/>
    <col min="7" max="7" width="18.109375" customWidth="1"/>
    <col min="8" max="8" width="15.44140625" customWidth="1"/>
    <col min="9" max="9" width="17.5546875" customWidth="1"/>
    <col min="10" max="10" width="32.21875" customWidth="1"/>
    <col min="11" max="11" width="24.21875" customWidth="1"/>
    <col min="12" max="12" width="14.77734375" customWidth="1"/>
    <col min="13" max="13" width="44" customWidth="1"/>
    <col min="14" max="14" width="19.88671875" customWidth="1"/>
    <col min="15" max="15" width="12.109375" customWidth="1"/>
    <col min="16" max="16" width="16.77734375" customWidth="1"/>
  </cols>
  <sheetData>
    <row r="1" spans="1:16" ht="42" customHeight="1" x14ac:dyDescent="0.3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6" ht="15" thickBot="1" x14ac:dyDescent="0.35"/>
    <row r="3" spans="1:16" x14ac:dyDescent="0.3">
      <c r="A3" s="21" t="s">
        <v>1</v>
      </c>
      <c r="B3" s="22">
        <v>46022</v>
      </c>
      <c r="C3" s="22"/>
      <c r="D3" s="23"/>
      <c r="M3" s="52" t="s">
        <v>84</v>
      </c>
      <c r="N3" s="20" t="str">
        <f>IF(COUNTIF($N$28:$N$41,"DIFF")=0,"PASS","CHECK")</f>
        <v>PASS</v>
      </c>
    </row>
    <row r="4" spans="1:16" ht="50.4" customHeight="1" thickBot="1" x14ac:dyDescent="0.35">
      <c r="A4" s="24" t="s">
        <v>2</v>
      </c>
      <c r="B4" s="25" t="s">
        <v>37</v>
      </c>
      <c r="C4" s="25"/>
      <c r="D4" s="26"/>
      <c r="M4" s="53" t="s">
        <v>85</v>
      </c>
      <c r="N4" s="19" cm="1">
        <f t="array" ref="N4">MAX(ABS($M$28:$M$41))</f>
        <v>1.1102230246251565E-16</v>
      </c>
    </row>
    <row r="5" spans="1:16" s="2" customFormat="1" ht="95.4" customHeight="1" thickBot="1" x14ac:dyDescent="0.35">
      <c r="A5" s="30" t="s">
        <v>51</v>
      </c>
      <c r="B5" s="31" t="s">
        <v>52</v>
      </c>
      <c r="C5" s="31" t="s">
        <v>53</v>
      </c>
      <c r="D5" s="31" t="s">
        <v>54</v>
      </c>
      <c r="E5" s="31" t="s">
        <v>55</v>
      </c>
      <c r="F5" s="31" t="s">
        <v>56</v>
      </c>
      <c r="G5" s="31" t="s">
        <v>57</v>
      </c>
      <c r="H5" s="31" t="s">
        <v>58</v>
      </c>
      <c r="I5" s="31" t="s">
        <v>59</v>
      </c>
      <c r="J5" s="31" t="s">
        <v>60</v>
      </c>
      <c r="K5" s="31" t="s">
        <v>61</v>
      </c>
      <c r="L5" s="31" t="s">
        <v>50</v>
      </c>
      <c r="M5" s="51" t="s">
        <v>82</v>
      </c>
    </row>
    <row r="6" spans="1:16" ht="22.2" customHeight="1" x14ac:dyDescent="0.3">
      <c r="A6" s="13" t="s">
        <v>8</v>
      </c>
      <c r="B6" s="14" t="s">
        <v>9</v>
      </c>
      <c r="C6" s="14" t="s">
        <v>10</v>
      </c>
      <c r="D6" s="14" t="s">
        <v>3</v>
      </c>
      <c r="E6" s="14" t="s">
        <v>13</v>
      </c>
      <c r="F6" s="14" t="s">
        <v>14</v>
      </c>
      <c r="G6" s="14" t="s">
        <v>35</v>
      </c>
      <c r="H6" s="15" t="s">
        <v>33</v>
      </c>
      <c r="I6" s="15" t="s">
        <v>15</v>
      </c>
      <c r="J6" s="14" t="s">
        <v>62</v>
      </c>
      <c r="K6" s="34" t="s">
        <v>63</v>
      </c>
      <c r="L6" s="34" t="s">
        <v>64</v>
      </c>
      <c r="M6" s="36" t="s">
        <v>66</v>
      </c>
      <c r="O6" s="8" t="s">
        <v>67</v>
      </c>
      <c r="P6" s="9" t="s">
        <v>68</v>
      </c>
    </row>
    <row r="7" spans="1:16" x14ac:dyDescent="0.3">
      <c r="A7" s="6" t="str">
        <f>Inputs!A7</f>
        <v>CASH</v>
      </c>
      <c r="B7" s="3" t="str">
        <f>Inputs!B7</f>
        <v>1M</v>
      </c>
      <c r="C7" s="3">
        <v>5.0999999999999996</v>
      </c>
      <c r="D7" s="3" t="str">
        <f>Inputs!D7</f>
        <v>ACT/360</v>
      </c>
      <c r="E7" s="5">
        <f>Inputs!H7</f>
        <v>46022</v>
      </c>
      <c r="F7" s="5">
        <f>Inputs!I7</f>
        <v>46053</v>
      </c>
      <c r="G7" s="3">
        <f>Inputs!K7</f>
        <v>8.611111111111111E-2</v>
      </c>
      <c r="H7" s="32">
        <f>Inputs!L7</f>
        <v>8.611111111111111E-2</v>
      </c>
      <c r="I7" s="32">
        <f>Inputs!M7</f>
        <v>8.3333333333333329E-2</v>
      </c>
      <c r="J7" s="32">
        <f>IF(A7="CASH",C7/100,IF(A7="FUT",(100-C7)/100,C7/100))</f>
        <v>5.0999999999999997E-2</v>
      </c>
      <c r="K7" s="3">
        <f>IF(A7="CASH",
  1/(1+J7*G7),
  IF(A7="FUT",
     K6/(1+J7*G7),
     (1 - J7*SUM($P$7:INDEX($P$7:$P$24,INT(I7)-1)))/(1+J7*H7)
  )
)</f>
        <v>0.99562753573888019</v>
      </c>
      <c r="L7" s="3">
        <f t="shared" ref="L7:L20" si="0">IF(K7="","",-LN(K7)/I7)</f>
        <v>5.2584617274968243E-2</v>
      </c>
      <c r="M7" s="3" t="str">
        <f>IF(A7="CASH",
 "DF = 1/(1+r·τ)",
 IF(A7="FUT",
  "DF_i = DF_{i-1}/(1+f_i·τ_i)",
  "DF_N = (1−S·Σ_{k=1..N−1}(α_k·DF_k)) / (1+S·α_N)"
 ))</f>
        <v>DF = 1/(1+r·τ)</v>
      </c>
      <c r="O7" s="6">
        <v>1</v>
      </c>
      <c r="P7" s="7">
        <f>IF(Table12[[#This Row],[Year]]&gt;MAX($I$7:$I$194),"",IFERROR(LOOKUP(Table12[[#This Row],[Year]],$I$7:$I$194,$K$7:$K$194),""))</f>
        <v>0.94855783249179082</v>
      </c>
    </row>
    <row r="8" spans="1:16" x14ac:dyDescent="0.3">
      <c r="A8" s="6" t="s">
        <v>16</v>
      </c>
      <c r="B8" s="3" t="s">
        <v>18</v>
      </c>
      <c r="C8" s="3">
        <v>5.2</v>
      </c>
      <c r="D8" s="3" t="s">
        <v>5</v>
      </c>
      <c r="E8" s="5">
        <f>Inputs!H8</f>
        <v>46022</v>
      </c>
      <c r="F8" s="5">
        <f>Inputs!I8</f>
        <v>46112</v>
      </c>
      <c r="G8" s="3">
        <f>Inputs!K8</f>
        <v>0.25</v>
      </c>
      <c r="H8" s="32">
        <f>Inputs!L8</f>
        <v>0.25</v>
      </c>
      <c r="I8" s="32">
        <f>Inputs!M8</f>
        <v>0.25</v>
      </c>
      <c r="J8" s="32">
        <f t="shared" ref="J8:J20" si="1">IF(A8="CASH",C8/100,IF(A8="FUT",(100-C8)/100,C8/100))</f>
        <v>5.2000000000000005E-2</v>
      </c>
      <c r="K8" s="3">
        <f>IF(A8="CASH",
  1/(1+J8*G8),
  IF(A8="FUT",
     K7/(1+J8*G8),
     (1 - J8*SUM($P$7:INDEX($P$7:$P$24,INT(I8)-1)))/(1+J8*H8)
  )
)</f>
        <v>0.98716683119447202</v>
      </c>
      <c r="L8" s="3">
        <f t="shared" si="0"/>
        <v>5.1664901066184703E-2</v>
      </c>
      <c r="M8" s="3" t="str">
        <f>IF(A8="CASH",
 "DF = 1/(1+r·τ)",
 IF(A8="FUT",
  "DF_i = DF_{i-1}/(1+f_i·τ_i)",
  "DF_N = (1−S·Σ_{k=1..N−1}(α_k·DF_k)) / (1+S·α_N)"
 ))</f>
        <v>DF = 1/(1+r·τ)</v>
      </c>
      <c r="O8" s="6">
        <f>O7+1</f>
        <v>2</v>
      </c>
      <c r="P8" s="7">
        <f>IFERROR(LOOKUP(O8,$I$7:$I$194,$K$7:$K$194),"")</f>
        <v>0.89386857926427499</v>
      </c>
    </row>
    <row r="9" spans="1:16" x14ac:dyDescent="0.3">
      <c r="A9" s="6" t="s">
        <v>16</v>
      </c>
      <c r="B9" s="3" t="s">
        <v>19</v>
      </c>
      <c r="C9" s="3">
        <v>5.25</v>
      </c>
      <c r="D9" s="3" t="s">
        <v>5</v>
      </c>
      <c r="E9" s="5">
        <f>Inputs!H9</f>
        <v>46022</v>
      </c>
      <c r="F9" s="5">
        <f>Inputs!I9</f>
        <v>46203</v>
      </c>
      <c r="G9" s="3">
        <f>Inputs!K9</f>
        <v>0.50277777777777777</v>
      </c>
      <c r="H9" s="32">
        <f>Inputs!L9</f>
        <v>0.50277777777777777</v>
      </c>
      <c r="I9" s="32">
        <f>Inputs!M9</f>
        <v>0.5</v>
      </c>
      <c r="J9" s="32">
        <f t="shared" si="1"/>
        <v>5.2499999999999998E-2</v>
      </c>
      <c r="K9" s="3">
        <f>IF(A9="CASH",
  1/(1+J9*G9),
  IF(A9="FUT",
     K8/(1+J9*G9),
     (1 - J9*SUM($P$7:INDEX($P$7:$P$24,INT(I9)-1)))/(1+J9*H9)
  )
)</f>
        <v>0.9742829886130675</v>
      </c>
      <c r="L9" s="3">
        <f t="shared" si="0"/>
        <v>5.2106949630153866E-2</v>
      </c>
      <c r="M9" s="3" t="str">
        <f>IF(A9="CASH",
 "DF = 1/(1+r·τ)",
 IF(A9="FUT",
  "DF_i = DF_{i-1}/(1+f_i·τ_i)",
  "DF_N = (1−S·Σ_{k=1..N−1}(α_k·DF_k)) / (1+S·α_N)"
 ))</f>
        <v>DF = 1/(1+r·τ)</v>
      </c>
      <c r="O9" s="6">
        <f t="shared" ref="O9:O24" si="2">O8+1</f>
        <v>3</v>
      </c>
      <c r="P9" s="7">
        <f>IFERROR(LOOKUP(O9,$I$7:$I$194,$K$7:$K$194),"")</f>
        <v>0.88543002946856553</v>
      </c>
    </row>
    <row r="10" spans="1:16" x14ac:dyDescent="0.3">
      <c r="A10" s="6" t="s">
        <v>20</v>
      </c>
      <c r="B10" s="3" t="s">
        <v>21</v>
      </c>
      <c r="C10" s="3">
        <v>94.8</v>
      </c>
      <c r="D10" s="3" t="s">
        <v>5</v>
      </c>
      <c r="E10" s="5">
        <f>Inputs!H10</f>
        <v>46203</v>
      </c>
      <c r="F10" s="5">
        <f>Inputs!I10</f>
        <v>46295</v>
      </c>
      <c r="G10" s="3">
        <f>Inputs!K10</f>
        <v>0.25555555555555554</v>
      </c>
      <c r="H10" s="32">
        <f>Inputs!L10</f>
        <v>0.25555555555555554</v>
      </c>
      <c r="I10" s="32">
        <f>Inputs!M10</f>
        <v>0.75</v>
      </c>
      <c r="J10" s="32">
        <f t="shared" si="1"/>
        <v>5.2000000000000025E-2</v>
      </c>
      <c r="K10" s="3">
        <f>IF(A10="CASH",
  1/(1+J10*G10),
  IF(A10="FUT",
     K9/(1+J10*G10),
     (1 - J10*SUM($P$7:INDEX($P$7:$P$24,INT(I10)-1)))/(1+J10*H10)
  )
)</f>
        <v>0.96150564690530371</v>
      </c>
      <c r="L10" s="3">
        <f t="shared" si="0"/>
        <v>5.2339787938816273E-2</v>
      </c>
      <c r="M10" s="3" t="str">
        <f>IF(A10="CASH",
 "DF = 1/(1+r·τ)",
 IF(A10="FUT",
  "DF_i = DF_{i-1}/(1+f_i·τ_i)",
  "DF_N = (1−S·Σ_{k=1..N−1}(α_k·DF_k)) / (1+S·α_N)"
 ))</f>
        <v>DF_i = DF_{i-1}/(1+f_i·τ_i)</v>
      </c>
      <c r="O10" s="6">
        <f t="shared" si="2"/>
        <v>4</v>
      </c>
      <c r="P10" s="7">
        <f>IFERROR(LOOKUP(O10,$I$7:$I$194,$K$7:$K$194),"")</f>
        <v>0.85317760414004817</v>
      </c>
    </row>
    <row r="11" spans="1:16" x14ac:dyDescent="0.3">
      <c r="A11" s="6" t="s">
        <v>20</v>
      </c>
      <c r="B11" s="3" t="s">
        <v>22</v>
      </c>
      <c r="C11" s="3">
        <v>94.6</v>
      </c>
      <c r="D11" s="3" t="s">
        <v>5</v>
      </c>
      <c r="E11" s="5">
        <f>Inputs!H11</f>
        <v>46295</v>
      </c>
      <c r="F11" s="5">
        <f>Inputs!I11</f>
        <v>46386</v>
      </c>
      <c r="G11" s="3">
        <f>Inputs!K11</f>
        <v>0.25277777777777777</v>
      </c>
      <c r="H11" s="32">
        <f>Inputs!L11</f>
        <v>0.25277777777777777</v>
      </c>
      <c r="I11" s="32">
        <f>Inputs!M11</f>
        <v>1</v>
      </c>
      <c r="J11" s="32">
        <f t="shared" si="1"/>
        <v>5.4000000000000055E-2</v>
      </c>
      <c r="K11" s="3">
        <f>IF(A11="CASH",
  1/(1+J11*G11),
  IF(A11="FUT",
     K10/(1+J11*G11),
     (1 - J11*SUM($P$7:INDEX($P$7:$P$24,INT(I11)-1)))/(1+J11*H11)
  )
)</f>
        <v>0.94855783249179082</v>
      </c>
      <c r="L11" s="3">
        <f t="shared" si="0"/>
        <v>5.2812518886177932E-2</v>
      </c>
      <c r="M11" s="3" t="str">
        <f>IF(A11="CASH",
 "DF = 1/(1+r·τ)",
 IF(A11="FUT",
  "DF_i = DF_{i-1}/(1+f_i·τ_i)",
  "DF_N = (1−S·Σ_{k=1..N−1}(α_k·DF_k)) / (1+S·α_N)"
 ))</f>
        <v>DF_i = DF_{i-1}/(1+f_i·τ_i)</v>
      </c>
      <c r="O11" s="6">
        <f t="shared" si="2"/>
        <v>5</v>
      </c>
      <c r="P11" s="7">
        <f>IFERROR(LOOKUP(O11,$I$7:$I$194,$K$7:$K$194),"")</f>
        <v>0.82168968876764104</v>
      </c>
    </row>
    <row r="12" spans="1:16" x14ac:dyDescent="0.3">
      <c r="A12" s="6" t="s">
        <v>20</v>
      </c>
      <c r="B12" s="3" t="s">
        <v>23</v>
      </c>
      <c r="C12" s="3">
        <v>94.4</v>
      </c>
      <c r="D12" s="3" t="s">
        <v>5</v>
      </c>
      <c r="E12" s="5">
        <f>Inputs!H12</f>
        <v>46386</v>
      </c>
      <c r="F12" s="5">
        <f>Inputs!I12</f>
        <v>46476</v>
      </c>
      <c r="G12" s="3">
        <f>Inputs!K12</f>
        <v>0.25</v>
      </c>
      <c r="H12" s="32">
        <f>Inputs!L12</f>
        <v>0.25</v>
      </c>
      <c r="I12" s="32">
        <f>Inputs!M12</f>
        <v>1.25</v>
      </c>
      <c r="J12" s="32">
        <f t="shared" si="1"/>
        <v>5.5999999999999946E-2</v>
      </c>
      <c r="K12" s="3">
        <f>IF(A12="CASH",
  1/(1+J12*G12),
  IF(A12="FUT",
     K11/(1+J12*G12),
     (1 - J12*SUM($P$7:INDEX($P$7:$P$24,INT(I12)-1)))/(1+J12*H12)
  )
)</f>
        <v>0.93546137326606593</v>
      </c>
      <c r="L12" s="3">
        <f t="shared" si="0"/>
        <v>5.3372339244135446E-2</v>
      </c>
      <c r="M12" s="3" t="str">
        <f>IF(A12="CASH",
 "DF = 1/(1+r·τ)",
 IF(A12="FUT",
  "DF_i = DF_{i-1}/(1+f_i·τ_i)",
  "DF_N = (1−S·Σ_{k=1..N−1}(α_k·DF_k)) / (1+S·α_N)"
 ))</f>
        <v>DF_i = DF_{i-1}/(1+f_i·τ_i)</v>
      </c>
      <c r="O12" s="6">
        <f t="shared" si="2"/>
        <v>6</v>
      </c>
      <c r="P12" s="7">
        <f>IFERROR(LOOKUP(O12,$I$7:$I$194,$K$7:$K$194),"")</f>
        <v>0.82168968876764104</v>
      </c>
    </row>
    <row r="13" spans="1:16" x14ac:dyDescent="0.3">
      <c r="A13" s="6" t="s">
        <v>20</v>
      </c>
      <c r="B13" s="3" t="s">
        <v>24</v>
      </c>
      <c r="C13" s="3">
        <v>94.2</v>
      </c>
      <c r="D13" s="3" t="s">
        <v>5</v>
      </c>
      <c r="E13" s="5">
        <f>Inputs!H13</f>
        <v>46476</v>
      </c>
      <c r="F13" s="5">
        <f>Inputs!I13</f>
        <v>46568</v>
      </c>
      <c r="G13" s="3">
        <f>Inputs!K13</f>
        <v>0.25555555555555554</v>
      </c>
      <c r="H13" s="32">
        <f>Inputs!L13</f>
        <v>0.25555555555555554</v>
      </c>
      <c r="I13" s="32">
        <f>Inputs!M13</f>
        <v>1.5</v>
      </c>
      <c r="J13" s="32">
        <f t="shared" si="1"/>
        <v>5.7999999999999968E-2</v>
      </c>
      <c r="K13" s="3">
        <f>IF(A13="CASH",
  1/(1+J13*G13),
  IF(A13="FUT",
     K12/(1+J13*G13),
     (1 - J13*SUM($P$7:INDEX($P$7:$P$24,INT(I13)-1)))/(1+J13*H13)
  )
)</f>
        <v>0.92179827439886497</v>
      </c>
      <c r="L13" s="3">
        <f t="shared" si="0"/>
        <v>5.4285913792198826E-2</v>
      </c>
      <c r="M13" s="3" t="str">
        <f>IF(A13="CASH",
 "DF = 1/(1+r·τ)",
 IF(A13="FUT",
  "DF_i = DF_{i-1}/(1+f_i·τ_i)",
  "DF_N = (1−S·Σ_{k=1..N−1}(α_k·DF_k)) / (1+S·α_N)"
 ))</f>
        <v>DF_i = DF_{i-1}/(1+f_i·τ_i)</v>
      </c>
      <c r="O13" s="6">
        <f t="shared" si="2"/>
        <v>7</v>
      </c>
      <c r="P13" s="7">
        <f>IFERROR(LOOKUP(O13,$I$7:$I$194,$K$7:$K$194),"")</f>
        <v>0.76059948373461683</v>
      </c>
    </row>
    <row r="14" spans="1:16" x14ac:dyDescent="0.3">
      <c r="A14" s="6" t="s">
        <v>20</v>
      </c>
      <c r="B14" s="3" t="s">
        <v>25</v>
      </c>
      <c r="C14" s="3">
        <v>94</v>
      </c>
      <c r="D14" s="3" t="s">
        <v>5</v>
      </c>
      <c r="E14" s="5">
        <f>Inputs!H14</f>
        <v>46568</v>
      </c>
      <c r="F14" s="5">
        <f>Inputs!I14</f>
        <v>46660</v>
      </c>
      <c r="G14" s="3">
        <f>Inputs!K14</f>
        <v>0.25555555555555554</v>
      </c>
      <c r="H14" s="32">
        <f>Inputs!L14</f>
        <v>0.25555555555555554</v>
      </c>
      <c r="I14" s="32">
        <f>Inputs!M14</f>
        <v>1.75</v>
      </c>
      <c r="J14" s="32">
        <f t="shared" si="1"/>
        <v>0.06</v>
      </c>
      <c r="K14" s="3">
        <f>IF(A14="CASH",
  1/(1+J14*G14),
  IF(A14="FUT",
     K13/(1+J14*G14),
     (1 - J14*SUM($P$7:INDEX($P$7:$P$24,INT(I14)-1)))/(1+J14*H14)
  )
)</f>
        <v>0.90787748627596676</v>
      </c>
      <c r="L14" s="3">
        <f t="shared" si="0"/>
        <v>5.5226192281804962E-2</v>
      </c>
      <c r="M14" s="3" t="str">
        <f>IF(A14="CASH",
 "DF = 1/(1+r·τ)",
 IF(A14="FUT",
  "DF_i = DF_{i-1}/(1+f_i·τ_i)",
  "DF_N = (1−S·Σ_{k=1..N−1}(α_k·DF_k)) / (1+S·α_N)"
 ))</f>
        <v>DF_i = DF_{i-1}/(1+f_i·τ_i)</v>
      </c>
      <c r="O14" s="6">
        <f t="shared" si="2"/>
        <v>8</v>
      </c>
      <c r="P14" s="7">
        <f>IFERROR(LOOKUP(O14,$I$7:$I$194,$K$7:$K$194),"")</f>
        <v>0.76059948373461683</v>
      </c>
    </row>
    <row r="15" spans="1:16" x14ac:dyDescent="0.3">
      <c r="A15" s="6" t="s">
        <v>20</v>
      </c>
      <c r="B15" s="3" t="s">
        <v>26</v>
      </c>
      <c r="C15" s="3">
        <v>93.8</v>
      </c>
      <c r="D15" s="3" t="s">
        <v>5</v>
      </c>
      <c r="E15" s="5">
        <f>Inputs!H15</f>
        <v>46660</v>
      </c>
      <c r="F15" s="5">
        <f>Inputs!I15</f>
        <v>46751</v>
      </c>
      <c r="G15" s="3">
        <f>Inputs!K15</f>
        <v>0.25277777777777777</v>
      </c>
      <c r="H15" s="32">
        <f>Inputs!L15</f>
        <v>0.25277777777777777</v>
      </c>
      <c r="I15" s="32">
        <f>Inputs!M15</f>
        <v>2</v>
      </c>
      <c r="J15" s="32">
        <f t="shared" si="1"/>
        <v>6.2000000000000027E-2</v>
      </c>
      <c r="K15" s="3">
        <f>IF(A15="CASH",
  1/(1+J15*G15),
  IF(A15="FUT",
     K14/(1+J15*G15),
     (1 - J15*SUM($P$7:INDEX($P$7:$P$24,INT(I15)-1)))/(1+J15*H15)
  )
)</f>
        <v>0.89386857926427488</v>
      </c>
      <c r="L15" s="3">
        <f t="shared" si="0"/>
        <v>5.6098258837363496E-2</v>
      </c>
      <c r="M15" s="3" t="str">
        <f>IF(A15="CASH",
 "DF = 1/(1+r·τ)",
 IF(A15="FUT",
  "DF_i = DF_{i-1}/(1+f_i·τ_i)",
  "DF_N = (1−S·Σ_{k=1..N−1}(α_k·DF_k)) / (1+S·α_N)"
 ))</f>
        <v>DF_i = DF_{i-1}/(1+f_i·τ_i)</v>
      </c>
      <c r="O15" s="6">
        <f t="shared" si="2"/>
        <v>9</v>
      </c>
      <c r="P15" s="7">
        <f>IFERROR(LOOKUP(O15,$I$7:$I$194,$K$7:$K$194),"")</f>
        <v>0.76059948373461683</v>
      </c>
    </row>
    <row r="16" spans="1:16" x14ac:dyDescent="0.3">
      <c r="A16" s="6" t="s">
        <v>27</v>
      </c>
      <c r="B16" s="3" t="s">
        <v>28</v>
      </c>
      <c r="C16" s="3">
        <v>4.2</v>
      </c>
      <c r="D16" s="3" t="s">
        <v>6</v>
      </c>
      <c r="E16" s="5">
        <f>Inputs!H16</f>
        <v>46022</v>
      </c>
      <c r="F16" s="5">
        <f>Inputs!I16</f>
        <v>47118</v>
      </c>
      <c r="G16" s="3">
        <f>Inputs!K16</f>
        <v>3</v>
      </c>
      <c r="H16" s="32">
        <f>Inputs!L16</f>
        <v>1</v>
      </c>
      <c r="I16" s="32">
        <f>Inputs!M16</f>
        <v>3</v>
      </c>
      <c r="J16" s="32">
        <f t="shared" si="1"/>
        <v>4.2000000000000003E-2</v>
      </c>
      <c r="K16" s="3">
        <f>IF(A16="CASH",
  1/(1+J16*G16),
  IF(A16="FUT",
     K15/(1+J16*G16),
     (1 - J16*SUM($P$7:INDEX($P$7:$P$24,INT(I16)-1)))/(1+J16*H16)
  )
)</f>
        <v>0.88543002946856542</v>
      </c>
      <c r="L16" s="3">
        <f t="shared" si="0"/>
        <v>4.0560614328576862E-2</v>
      </c>
      <c r="M16" s="3" t="str">
        <f>IF(A16="CASH",
 "DF = 1/(1+r·τ)",
 IF(A16="FUT",
  "DF_i = DF_{i-1}/(1+f_i·τ_i)",
  "DF_N = (1−S·Σ_{k=1..N−1}(α_k·DF_k)) / (1+S·α_N)"
 ))</f>
        <v>DF_N = (1−S·Σ_{k=1..N−1}(α_k·DF_k)) / (1+S·α_N)</v>
      </c>
      <c r="O16" s="6">
        <f t="shared" si="2"/>
        <v>10</v>
      </c>
      <c r="P16" s="7">
        <f>IFERROR(LOOKUP(O16,$I$7:$I$194,$K$7:$K$194),"")</f>
        <v>0.67677213176806106</v>
      </c>
    </row>
    <row r="17" spans="1:16" x14ac:dyDescent="0.3">
      <c r="A17" s="6" t="s">
        <v>27</v>
      </c>
      <c r="B17" s="3" t="s">
        <v>29</v>
      </c>
      <c r="C17" s="3">
        <v>4.0999999999999996</v>
      </c>
      <c r="D17" s="3" t="s">
        <v>6</v>
      </c>
      <c r="E17" s="5">
        <f>Inputs!H17</f>
        <v>46022</v>
      </c>
      <c r="F17" s="5">
        <f>Inputs!I17</f>
        <v>47483</v>
      </c>
      <c r="G17" s="3">
        <f>Inputs!K17</f>
        <v>4</v>
      </c>
      <c r="H17" s="32">
        <f>Inputs!L17</f>
        <v>1</v>
      </c>
      <c r="I17" s="32">
        <f>Inputs!M17</f>
        <v>4</v>
      </c>
      <c r="J17" s="32">
        <f t="shared" si="1"/>
        <v>4.0999999999999995E-2</v>
      </c>
      <c r="K17" s="3">
        <f>IF(A17="CASH",
  1/(1+J17*G17),
  IF(A17="FUT",
     K16/(1+J17*G17),
     (1 - J17*SUM($P$7:INDEX($P$7:$P$24,INT(I17)-1)))/(1+J17*H17)
  )
)</f>
        <v>0.85317760414004828</v>
      </c>
      <c r="L17" s="3">
        <f t="shared" si="0"/>
        <v>3.9696885494821338E-2</v>
      </c>
      <c r="M17" s="3" t="str">
        <f>IF(A17="CASH",
 "DF = 1/(1+r·τ)",
 IF(A17="FUT",
  "DF_i = DF_{i-1}/(1+f_i·τ_i)",
  "DF_N = (1−S·Σ_{k=1..N−1}(α_k·DF_k)) / (1+S·α_N)"
 ))</f>
        <v>DF_N = (1−S·Σ_{k=1..N−1}(α_k·DF_k)) / (1+S·α_N)</v>
      </c>
      <c r="O17" s="6">
        <f t="shared" si="2"/>
        <v>11</v>
      </c>
      <c r="P17" s="7">
        <f>IFERROR(LOOKUP(O17,$I$7:$I$194,$K$7:$K$194),"")</f>
        <v>0.67677213176806106</v>
      </c>
    </row>
    <row r="18" spans="1:16" x14ac:dyDescent="0.3">
      <c r="A18" s="6" t="s">
        <v>27</v>
      </c>
      <c r="B18" s="3" t="s">
        <v>30</v>
      </c>
      <c r="C18" s="3">
        <v>4.05</v>
      </c>
      <c r="D18" s="3" t="s">
        <v>6</v>
      </c>
      <c r="E18" s="5">
        <f>Inputs!H18</f>
        <v>46022</v>
      </c>
      <c r="F18" s="5">
        <f>Inputs!I18</f>
        <v>47848</v>
      </c>
      <c r="G18" s="3">
        <f>Inputs!K18</f>
        <v>5</v>
      </c>
      <c r="H18" s="32">
        <f>Inputs!L18</f>
        <v>1</v>
      </c>
      <c r="I18" s="32">
        <f>Inputs!M18</f>
        <v>5</v>
      </c>
      <c r="J18" s="32">
        <f t="shared" si="1"/>
        <v>4.0500000000000001E-2</v>
      </c>
      <c r="K18" s="3">
        <f>IF(A18="CASH",
  1/(1+J18*G18),
  IF(A18="FUT",
     K17/(1+J18*G18),
     (1 - J18*SUM($P$7:INDEX($P$7:$P$24,INT(I18)-1)))/(1+J18*H18)
  )
)</f>
        <v>0.82168968876764104</v>
      </c>
      <c r="L18" s="3">
        <f t="shared" si="0"/>
        <v>3.9278492556365549E-2</v>
      </c>
      <c r="M18" s="3" t="str">
        <f>IF(A18="CASH",
 "DF = 1/(1+r·τ)",
 IF(A18="FUT",
  "DF_i = DF_{i-1}/(1+f_i·τ_i)",
  "DF_N = (1−S·Σ_{k=1..N−1}(α_k·DF_k)) / (1+S·α_N)"
 ))</f>
        <v>DF_N = (1−S·Σ_{k=1..N−1}(α_k·DF_k)) / (1+S·α_N)</v>
      </c>
      <c r="O18" s="6">
        <f t="shared" si="2"/>
        <v>12</v>
      </c>
      <c r="P18" s="7">
        <f>IFERROR(LOOKUP(O18,$I$7:$I$194,$K$7:$K$194),"")</f>
        <v>0.67677213176806106</v>
      </c>
    </row>
    <row r="19" spans="1:16" x14ac:dyDescent="0.3">
      <c r="A19" s="6" t="s">
        <v>27</v>
      </c>
      <c r="B19" s="3" t="s">
        <v>31</v>
      </c>
      <c r="C19" s="3">
        <v>4</v>
      </c>
      <c r="D19" s="3" t="s">
        <v>6</v>
      </c>
      <c r="E19" s="5">
        <f>Inputs!H19</f>
        <v>46022</v>
      </c>
      <c r="F19" s="5">
        <f>Inputs!I19</f>
        <v>48579</v>
      </c>
      <c r="G19" s="3">
        <f>Inputs!K19</f>
        <v>7</v>
      </c>
      <c r="H19" s="32">
        <f>Inputs!L19</f>
        <v>1</v>
      </c>
      <c r="I19" s="32">
        <f>Inputs!M19</f>
        <v>7</v>
      </c>
      <c r="J19" s="32">
        <f t="shared" si="1"/>
        <v>0.04</v>
      </c>
      <c r="K19" s="3">
        <f>IF(A19="CASH",
  1/(1+J19*G19),
  IF(A19="FUT",
     K18/(1+J19*G19),
     (1 - J19*SUM($P$7:INDEX($P$7:$P$24,INT(I19)-1)))/(1+J19*H19)
  )
)</f>
        <v>0.76059948373461683</v>
      </c>
      <c r="L19" s="3">
        <f t="shared" si="0"/>
        <v>3.9092623178414457E-2</v>
      </c>
      <c r="M19" s="3" t="str">
        <f>IF(A19="CASH",
 "DF = 1/(1+r·τ)",
 IF(A19="FUT",
  "DF_i = DF_{i-1}/(1+f_i·τ_i)",
  "DF_N = (1−S·Σ_{k=1..N−1}(α_k·DF_k)) / (1+S·α_N)"
 ))</f>
        <v>DF_N = (1−S·Σ_{k=1..N−1}(α_k·DF_k)) / (1+S·α_N)</v>
      </c>
      <c r="O19" s="6">
        <f t="shared" si="2"/>
        <v>13</v>
      </c>
      <c r="P19" s="7">
        <f>IFERROR(LOOKUP(O19,$I$7:$I$194,$K$7:$K$194),"")</f>
        <v>0.67677213176806106</v>
      </c>
    </row>
    <row r="20" spans="1:16" x14ac:dyDescent="0.3">
      <c r="A20" s="10" t="s">
        <v>27</v>
      </c>
      <c r="B20" s="17" t="s">
        <v>32</v>
      </c>
      <c r="C20" s="17">
        <v>3.95</v>
      </c>
      <c r="D20" s="17" t="s">
        <v>6</v>
      </c>
      <c r="E20" s="18">
        <f>Inputs!H20</f>
        <v>46022</v>
      </c>
      <c r="F20" s="5">
        <f>Inputs!I20</f>
        <v>49674</v>
      </c>
      <c r="G20" s="17">
        <f>Inputs!K20</f>
        <v>10</v>
      </c>
      <c r="H20" s="33">
        <f>Inputs!L20</f>
        <v>1</v>
      </c>
      <c r="I20" s="33">
        <f>Inputs!M20</f>
        <v>10</v>
      </c>
      <c r="J20" s="33">
        <f t="shared" si="1"/>
        <v>3.95E-2</v>
      </c>
      <c r="K20" s="3">
        <f>IF(A20="CASH",
  1/(1+J20*G20),
  IF(A20="FUT",
     K19/(1+J20*G20),
     (1 - J20*SUM($P$7:INDEX($P$7:$P$24,INT(I20)-1)))/(1+J20*H20)
  )
)</f>
        <v>0.67677213176806095</v>
      </c>
      <c r="L20" s="3">
        <f t="shared" si="0"/>
        <v>3.9042064800352841E-2</v>
      </c>
      <c r="M20" s="3" t="str">
        <f>IF(A20="CASH",
 "DF = 1/(1+r·τ)",
 IF(A20="FUT",
  "DF_i = DF_{i-1}/(1+f_i·τ_i)",
  "DF_N = (1−S·Σ_{k=1..N−1}(α_k·DF_k)) / (1+S·α_N)"
 ))</f>
        <v>DF_N = (1−S·Σ_{k=1..N−1}(α_k·DF_k)) / (1+S·α_N)</v>
      </c>
      <c r="O20" s="6">
        <f t="shared" si="2"/>
        <v>14</v>
      </c>
      <c r="P20" s="7">
        <f>IFERROR(LOOKUP(O20,$I$7:$I$194,$K$7:$K$194),"")</f>
        <v>0.67677213176806106</v>
      </c>
    </row>
    <row r="21" spans="1:16" x14ac:dyDescent="0.3">
      <c r="O21" s="6">
        <f t="shared" si="2"/>
        <v>15</v>
      </c>
      <c r="P21" s="7">
        <f>IFERROR(LOOKUP(O21,$I$7:$I$194,$K$7:$K$194),"")</f>
        <v>0.67677213176806106</v>
      </c>
    </row>
    <row r="22" spans="1:16" x14ac:dyDescent="0.3">
      <c r="O22" s="6">
        <f t="shared" si="2"/>
        <v>16</v>
      </c>
      <c r="P22" s="7">
        <f>IFERROR(LOOKUP(O22,$I$7:$I$194,$K$7:$K$194),"")</f>
        <v>0.67677213176806106</v>
      </c>
    </row>
    <row r="23" spans="1:16" ht="35.4" customHeight="1" x14ac:dyDescent="0.3">
      <c r="A23" s="39" t="s">
        <v>69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O23" s="6">
        <f t="shared" si="2"/>
        <v>17</v>
      </c>
      <c r="P23" s="7">
        <f>IFERROR(LOOKUP(O23,$I$7:$I$194,$K$7:$K$194),"")</f>
        <v>0.67677213176806106</v>
      </c>
    </row>
    <row r="24" spans="1:16" ht="18.600000000000001" customHeight="1" x14ac:dyDescent="0.35">
      <c r="A24" s="37" t="s">
        <v>70</v>
      </c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O24" s="6">
        <f t="shared" si="2"/>
        <v>18</v>
      </c>
      <c r="P24" s="7">
        <f>IFERROR(LOOKUP(O24,$I$7:$I$194,$K$7:$K$194),"")</f>
        <v>0.67677213176806106</v>
      </c>
    </row>
    <row r="27" spans="1:16" x14ac:dyDescent="0.3">
      <c r="A27" s="8" t="s">
        <v>8</v>
      </c>
      <c r="B27" s="35" t="s">
        <v>9</v>
      </c>
      <c r="C27" s="35" t="s">
        <v>10</v>
      </c>
      <c r="D27" s="35" t="s">
        <v>3</v>
      </c>
      <c r="E27" s="35" t="s">
        <v>13</v>
      </c>
      <c r="F27" s="35" t="s">
        <v>14</v>
      </c>
      <c r="G27" s="35" t="s">
        <v>35</v>
      </c>
      <c r="H27" s="35" t="s">
        <v>33</v>
      </c>
      <c r="I27" s="35" t="s">
        <v>15</v>
      </c>
      <c r="J27" s="35" t="s">
        <v>80</v>
      </c>
      <c r="K27" s="35" t="s">
        <v>65</v>
      </c>
      <c r="L27" s="35" t="s">
        <v>81</v>
      </c>
      <c r="M27" s="35" t="s">
        <v>83</v>
      </c>
      <c r="N27" s="9" t="s">
        <v>79</v>
      </c>
    </row>
    <row r="28" spans="1:16" x14ac:dyDescent="0.3">
      <c r="A28" s="6" t="str">
        <f t="shared" ref="A28:A41" si="3">IF($A7="","",$A7)</f>
        <v>CASH</v>
      </c>
      <c r="B28" s="3" t="str">
        <f t="shared" ref="B28:B41" si="4">IF($A7="","",$B7)</f>
        <v>1M</v>
      </c>
      <c r="C28" s="3">
        <f t="shared" ref="C28:C41" si="5">IF($A7="","",$C7)</f>
        <v>5.0999999999999996</v>
      </c>
      <c r="D28" s="3" t="str">
        <f t="shared" ref="D28:D41" si="6">IF($A7="","",$D7)</f>
        <v>ACT/360</v>
      </c>
      <c r="E28" s="3">
        <f t="shared" ref="E28:E41" si="7">IF($A7="","",$E7)</f>
        <v>46022</v>
      </c>
      <c r="F28" s="3">
        <f t="shared" ref="F28:F41" si="8">IF($A7="","",$F7)</f>
        <v>46053</v>
      </c>
      <c r="G28" s="3">
        <f t="shared" ref="G28:G41" si="9">IF($A7="","",$G7)</f>
        <v>8.611111111111111E-2</v>
      </c>
      <c r="H28" s="3">
        <f t="shared" ref="H28:H41" si="10">IF($A7="","",$H7)</f>
        <v>8.611111111111111E-2</v>
      </c>
      <c r="I28" s="3">
        <f t="shared" ref="I28:I41" si="11">IF($A7="","",$I7)</f>
        <v>8.3333333333333329E-2</v>
      </c>
      <c r="J28" s="49">
        <v>5.0999999999999997E-2</v>
      </c>
      <c r="K28" s="45">
        <v>0.99562753573888008</v>
      </c>
      <c r="L28" s="49">
        <v>5.2584617274969582E-2</v>
      </c>
      <c r="M28" s="3">
        <f t="shared" ref="M28:M41" si="12">IF(A28="","",IF(OR($K7="",K28=""),"",$K7-K28))</f>
        <v>1.1102230246251565E-16</v>
      </c>
      <c r="N28" s="7" t="str">
        <f t="shared" ref="N28:N41" si="13">IF(A28="","",IF(AND(
ABS(J28-$J7)&lt;0.000000001,
ABS(K28-$K7)&lt;0.000000001,
ABS(L28-$L7)&lt;0.000000001
),"OK","DIFF"))</f>
        <v>OK</v>
      </c>
    </row>
    <row r="29" spans="1:16" x14ac:dyDescent="0.3">
      <c r="A29" s="6" t="str">
        <f t="shared" si="3"/>
        <v>CASH</v>
      </c>
      <c r="B29" s="3" t="str">
        <f t="shared" si="4"/>
        <v>3M</v>
      </c>
      <c r="C29" s="3">
        <f t="shared" si="5"/>
        <v>5.2</v>
      </c>
      <c r="D29" s="3" t="str">
        <f t="shared" si="6"/>
        <v>ACT/360</v>
      </c>
      <c r="E29" s="3">
        <f t="shared" si="7"/>
        <v>46022</v>
      </c>
      <c r="F29" s="3">
        <f t="shared" si="8"/>
        <v>46112</v>
      </c>
      <c r="G29" s="3">
        <f t="shared" si="9"/>
        <v>0.25</v>
      </c>
      <c r="H29" s="3">
        <f t="shared" si="10"/>
        <v>0.25</v>
      </c>
      <c r="I29" s="3">
        <f t="shared" si="11"/>
        <v>0.25</v>
      </c>
      <c r="J29" s="49">
        <v>5.2000000000000005E-2</v>
      </c>
      <c r="K29" s="45">
        <v>0.98716683119447191</v>
      </c>
      <c r="L29" s="49">
        <v>5.1664901066185154E-2</v>
      </c>
      <c r="M29" s="3">
        <f t="shared" si="12"/>
        <v>1.1102230246251565E-16</v>
      </c>
      <c r="N29" s="7" t="str">
        <f t="shared" si="13"/>
        <v>OK</v>
      </c>
    </row>
    <row r="30" spans="1:16" x14ac:dyDescent="0.3">
      <c r="A30" s="6" t="str">
        <f t="shared" si="3"/>
        <v>CASH</v>
      </c>
      <c r="B30" s="3" t="str">
        <f t="shared" si="4"/>
        <v>6M</v>
      </c>
      <c r="C30" s="3">
        <f t="shared" si="5"/>
        <v>5.25</v>
      </c>
      <c r="D30" s="3" t="str">
        <f t="shared" si="6"/>
        <v>ACT/360</v>
      </c>
      <c r="E30" s="3">
        <f t="shared" si="7"/>
        <v>46022</v>
      </c>
      <c r="F30" s="3">
        <f t="shared" si="8"/>
        <v>46203</v>
      </c>
      <c r="G30" s="3">
        <f t="shared" si="9"/>
        <v>0.50277777777777777</v>
      </c>
      <c r="H30" s="3">
        <f t="shared" si="10"/>
        <v>0.50277777777777777</v>
      </c>
      <c r="I30" s="3">
        <f t="shared" si="11"/>
        <v>0.5</v>
      </c>
      <c r="J30" s="49">
        <v>5.2499999999999998E-2</v>
      </c>
      <c r="K30" s="45">
        <v>0.97428298861306761</v>
      </c>
      <c r="L30" s="49">
        <v>5.2106949630153637E-2</v>
      </c>
      <c r="M30" s="3">
        <f t="shared" si="12"/>
        <v>-1.1102230246251565E-16</v>
      </c>
      <c r="N30" s="7" t="str">
        <f t="shared" si="13"/>
        <v>OK</v>
      </c>
    </row>
    <row r="31" spans="1:16" x14ac:dyDescent="0.3">
      <c r="A31" s="6" t="str">
        <f t="shared" si="3"/>
        <v>FUT</v>
      </c>
      <c r="B31" s="3" t="str">
        <f t="shared" si="4"/>
        <v>9M</v>
      </c>
      <c r="C31" s="3">
        <f t="shared" si="5"/>
        <v>94.8</v>
      </c>
      <c r="D31" s="3" t="str">
        <f t="shared" si="6"/>
        <v>ACT/360</v>
      </c>
      <c r="E31" s="3">
        <f t="shared" si="7"/>
        <v>46203</v>
      </c>
      <c r="F31" s="3">
        <f t="shared" si="8"/>
        <v>46295</v>
      </c>
      <c r="G31" s="3">
        <f t="shared" si="9"/>
        <v>0.25555555555555554</v>
      </c>
      <c r="H31" s="3">
        <f t="shared" si="10"/>
        <v>0.25555555555555554</v>
      </c>
      <c r="I31" s="3">
        <f t="shared" si="11"/>
        <v>0.75</v>
      </c>
      <c r="J31" s="49">
        <v>5.2000000000000025E-2</v>
      </c>
      <c r="K31" s="45">
        <v>0.96150564690530382</v>
      </c>
      <c r="L31" s="49">
        <v>5.2339787938816114E-2</v>
      </c>
      <c r="M31" s="3">
        <f t="shared" si="12"/>
        <v>-1.1102230246251565E-16</v>
      </c>
      <c r="N31" s="7" t="str">
        <f t="shared" si="13"/>
        <v>OK</v>
      </c>
    </row>
    <row r="32" spans="1:16" x14ac:dyDescent="0.3">
      <c r="A32" s="6" t="str">
        <f t="shared" si="3"/>
        <v>FUT</v>
      </c>
      <c r="B32" s="3" t="str">
        <f t="shared" si="4"/>
        <v>12M</v>
      </c>
      <c r="C32" s="3">
        <f t="shared" si="5"/>
        <v>94.6</v>
      </c>
      <c r="D32" s="3" t="str">
        <f t="shared" si="6"/>
        <v>ACT/360</v>
      </c>
      <c r="E32" s="3">
        <f t="shared" si="7"/>
        <v>46295</v>
      </c>
      <c r="F32" s="3">
        <f t="shared" si="8"/>
        <v>46386</v>
      </c>
      <c r="G32" s="3">
        <f t="shared" si="9"/>
        <v>0.25277777777777777</v>
      </c>
      <c r="H32" s="3">
        <f t="shared" si="10"/>
        <v>0.25277777777777777</v>
      </c>
      <c r="I32" s="3">
        <f t="shared" si="11"/>
        <v>1</v>
      </c>
      <c r="J32" s="49">
        <v>5.4000000000000055E-2</v>
      </c>
      <c r="K32" s="45">
        <v>0.94855783249179082</v>
      </c>
      <c r="L32" s="49">
        <v>5.2812518886177932E-2</v>
      </c>
      <c r="M32" s="3">
        <f t="shared" si="12"/>
        <v>0</v>
      </c>
      <c r="N32" s="7" t="str">
        <f t="shared" si="13"/>
        <v>OK</v>
      </c>
    </row>
    <row r="33" spans="1:14" x14ac:dyDescent="0.3">
      <c r="A33" s="6" t="str">
        <f t="shared" si="3"/>
        <v>FUT</v>
      </c>
      <c r="B33" s="3" t="str">
        <f t="shared" si="4"/>
        <v>15M</v>
      </c>
      <c r="C33" s="3">
        <f t="shared" si="5"/>
        <v>94.4</v>
      </c>
      <c r="D33" s="3" t="str">
        <f t="shared" si="6"/>
        <v>ACT/360</v>
      </c>
      <c r="E33" s="3">
        <f t="shared" si="7"/>
        <v>46386</v>
      </c>
      <c r="F33" s="3">
        <f t="shared" si="8"/>
        <v>46476</v>
      </c>
      <c r="G33" s="3">
        <f t="shared" si="9"/>
        <v>0.25</v>
      </c>
      <c r="H33" s="3">
        <f t="shared" si="10"/>
        <v>0.25</v>
      </c>
      <c r="I33" s="3">
        <f t="shared" si="11"/>
        <v>1.25</v>
      </c>
      <c r="J33" s="49">
        <v>5.5999999999999946E-2</v>
      </c>
      <c r="K33" s="45">
        <v>0.93546137326606593</v>
      </c>
      <c r="L33" s="49">
        <v>5.3372339244135446E-2</v>
      </c>
      <c r="M33" s="3">
        <f t="shared" si="12"/>
        <v>0</v>
      </c>
      <c r="N33" s="7" t="str">
        <f t="shared" si="13"/>
        <v>OK</v>
      </c>
    </row>
    <row r="34" spans="1:14" x14ac:dyDescent="0.3">
      <c r="A34" s="6" t="str">
        <f t="shared" si="3"/>
        <v>FUT</v>
      </c>
      <c r="B34" s="3" t="str">
        <f t="shared" si="4"/>
        <v>18M</v>
      </c>
      <c r="C34" s="3">
        <f t="shared" si="5"/>
        <v>94.2</v>
      </c>
      <c r="D34" s="3" t="str">
        <f t="shared" si="6"/>
        <v>ACT/360</v>
      </c>
      <c r="E34" s="3">
        <f t="shared" si="7"/>
        <v>46476</v>
      </c>
      <c r="F34" s="3">
        <f t="shared" si="8"/>
        <v>46568</v>
      </c>
      <c r="G34" s="3">
        <f t="shared" si="9"/>
        <v>0.25555555555555554</v>
      </c>
      <c r="H34" s="3">
        <f t="shared" si="10"/>
        <v>0.25555555555555554</v>
      </c>
      <c r="I34" s="3">
        <f t="shared" si="11"/>
        <v>1.5</v>
      </c>
      <c r="J34" s="49">
        <v>5.7999999999999968E-2</v>
      </c>
      <c r="K34" s="45">
        <v>0.92179827439886497</v>
      </c>
      <c r="L34" s="49">
        <v>5.4285913792198826E-2</v>
      </c>
      <c r="M34" s="3">
        <f t="shared" si="12"/>
        <v>0</v>
      </c>
      <c r="N34" s="7" t="str">
        <f t="shared" si="13"/>
        <v>OK</v>
      </c>
    </row>
    <row r="35" spans="1:14" x14ac:dyDescent="0.3">
      <c r="A35" s="6" t="str">
        <f t="shared" si="3"/>
        <v>FUT</v>
      </c>
      <c r="B35" s="3" t="str">
        <f t="shared" si="4"/>
        <v>21M</v>
      </c>
      <c r="C35" s="3">
        <f t="shared" si="5"/>
        <v>94</v>
      </c>
      <c r="D35" s="3" t="str">
        <f t="shared" si="6"/>
        <v>ACT/360</v>
      </c>
      <c r="E35" s="3">
        <f t="shared" si="7"/>
        <v>46568</v>
      </c>
      <c r="F35" s="3">
        <f t="shared" si="8"/>
        <v>46660</v>
      </c>
      <c r="G35" s="3">
        <f t="shared" si="9"/>
        <v>0.25555555555555554</v>
      </c>
      <c r="H35" s="3">
        <f t="shared" si="10"/>
        <v>0.25555555555555554</v>
      </c>
      <c r="I35" s="3">
        <f t="shared" si="11"/>
        <v>1.75</v>
      </c>
      <c r="J35" s="49">
        <v>0.06</v>
      </c>
      <c r="K35" s="45">
        <v>0.90787748627596676</v>
      </c>
      <c r="L35" s="49">
        <v>5.5226192281804962E-2</v>
      </c>
      <c r="M35" s="3">
        <f t="shared" si="12"/>
        <v>0</v>
      </c>
      <c r="N35" s="7" t="str">
        <f t="shared" si="13"/>
        <v>OK</v>
      </c>
    </row>
    <row r="36" spans="1:14" x14ac:dyDescent="0.3">
      <c r="A36" s="6" t="str">
        <f t="shared" si="3"/>
        <v>FUT</v>
      </c>
      <c r="B36" s="3" t="str">
        <f t="shared" si="4"/>
        <v>24M</v>
      </c>
      <c r="C36" s="3">
        <f t="shared" si="5"/>
        <v>93.8</v>
      </c>
      <c r="D36" s="3" t="str">
        <f t="shared" si="6"/>
        <v>ACT/360</v>
      </c>
      <c r="E36" s="3">
        <f t="shared" si="7"/>
        <v>46660</v>
      </c>
      <c r="F36" s="3">
        <f t="shared" si="8"/>
        <v>46751</v>
      </c>
      <c r="G36" s="3">
        <f t="shared" si="9"/>
        <v>0.25277777777777777</v>
      </c>
      <c r="H36" s="3">
        <f t="shared" si="10"/>
        <v>0.25277777777777777</v>
      </c>
      <c r="I36" s="3">
        <f t="shared" si="11"/>
        <v>2</v>
      </c>
      <c r="J36" s="49">
        <v>6.2000000000000027E-2</v>
      </c>
      <c r="K36" s="45">
        <v>0.89386857926427499</v>
      </c>
      <c r="L36" s="49">
        <v>5.6098258837363434E-2</v>
      </c>
      <c r="M36" s="3">
        <f t="shared" si="12"/>
        <v>-1.1102230246251565E-16</v>
      </c>
      <c r="N36" s="7" t="str">
        <f t="shared" si="13"/>
        <v>OK</v>
      </c>
    </row>
    <row r="37" spans="1:14" x14ac:dyDescent="0.3">
      <c r="A37" s="6" t="str">
        <f t="shared" si="3"/>
        <v>SWAP</v>
      </c>
      <c r="B37" s="3" t="str">
        <f t="shared" si="4"/>
        <v>3Y</v>
      </c>
      <c r="C37" s="3">
        <f t="shared" si="5"/>
        <v>4.2</v>
      </c>
      <c r="D37" s="3" t="str">
        <f t="shared" si="6"/>
        <v>30/360</v>
      </c>
      <c r="E37" s="3">
        <f t="shared" si="7"/>
        <v>46022</v>
      </c>
      <c r="F37" s="3">
        <f t="shared" si="8"/>
        <v>47118</v>
      </c>
      <c r="G37" s="3">
        <f t="shared" si="9"/>
        <v>3</v>
      </c>
      <c r="H37" s="3">
        <f t="shared" si="10"/>
        <v>1</v>
      </c>
      <c r="I37" s="3">
        <f t="shared" si="11"/>
        <v>3</v>
      </c>
      <c r="J37" s="49">
        <v>4.2000000000000003E-2</v>
      </c>
      <c r="K37" s="45">
        <v>0.88543002946856553</v>
      </c>
      <c r="L37" s="49">
        <v>4.056061432857682E-2</v>
      </c>
      <c r="M37" s="3">
        <f t="shared" si="12"/>
        <v>-1.1102230246251565E-16</v>
      </c>
      <c r="N37" s="7" t="str">
        <f t="shared" si="13"/>
        <v>OK</v>
      </c>
    </row>
    <row r="38" spans="1:14" x14ac:dyDescent="0.3">
      <c r="A38" s="6" t="str">
        <f t="shared" si="3"/>
        <v>SWAP</v>
      </c>
      <c r="B38" s="3" t="str">
        <f t="shared" si="4"/>
        <v>4Y</v>
      </c>
      <c r="C38" s="3">
        <f t="shared" si="5"/>
        <v>4.0999999999999996</v>
      </c>
      <c r="D38" s="3" t="str">
        <f t="shared" si="6"/>
        <v>30/360</v>
      </c>
      <c r="E38" s="3">
        <f t="shared" si="7"/>
        <v>46022</v>
      </c>
      <c r="F38" s="3">
        <f t="shared" si="8"/>
        <v>47483</v>
      </c>
      <c r="G38" s="3">
        <f t="shared" si="9"/>
        <v>4</v>
      </c>
      <c r="H38" s="3">
        <f t="shared" si="10"/>
        <v>1</v>
      </c>
      <c r="I38" s="3">
        <f t="shared" si="11"/>
        <v>4</v>
      </c>
      <c r="J38" s="49">
        <v>4.0999999999999995E-2</v>
      </c>
      <c r="K38" s="45">
        <v>0.85317760414004817</v>
      </c>
      <c r="L38" s="49">
        <v>3.9696885494821366E-2</v>
      </c>
      <c r="M38" s="3">
        <f t="shared" si="12"/>
        <v>1.1102230246251565E-16</v>
      </c>
      <c r="N38" s="7" t="str">
        <f t="shared" si="13"/>
        <v>OK</v>
      </c>
    </row>
    <row r="39" spans="1:14" x14ac:dyDescent="0.3">
      <c r="A39" s="6" t="str">
        <f t="shared" si="3"/>
        <v>SWAP</v>
      </c>
      <c r="B39" s="3" t="str">
        <f t="shared" si="4"/>
        <v>5Y</v>
      </c>
      <c r="C39" s="3">
        <f t="shared" si="5"/>
        <v>4.05</v>
      </c>
      <c r="D39" s="3" t="str">
        <f t="shared" si="6"/>
        <v>30/360</v>
      </c>
      <c r="E39" s="3">
        <f t="shared" si="7"/>
        <v>46022</v>
      </c>
      <c r="F39" s="3">
        <f t="shared" si="8"/>
        <v>47848</v>
      </c>
      <c r="G39" s="3">
        <f t="shared" si="9"/>
        <v>5</v>
      </c>
      <c r="H39" s="3">
        <f t="shared" si="10"/>
        <v>1</v>
      </c>
      <c r="I39" s="3">
        <f t="shared" si="11"/>
        <v>5</v>
      </c>
      <c r="J39" s="49">
        <v>4.0500000000000001E-2</v>
      </c>
      <c r="K39" s="45">
        <v>0.82168968876764104</v>
      </c>
      <c r="L39" s="49">
        <v>3.9278492556365549E-2</v>
      </c>
      <c r="M39" s="3">
        <f t="shared" si="12"/>
        <v>0</v>
      </c>
      <c r="N39" s="7" t="str">
        <f t="shared" si="13"/>
        <v>OK</v>
      </c>
    </row>
    <row r="40" spans="1:14" x14ac:dyDescent="0.3">
      <c r="A40" s="6" t="str">
        <f t="shared" si="3"/>
        <v>SWAP</v>
      </c>
      <c r="B40" s="3" t="str">
        <f t="shared" si="4"/>
        <v>7Y</v>
      </c>
      <c r="C40" s="3">
        <f t="shared" si="5"/>
        <v>4</v>
      </c>
      <c r="D40" s="3" t="str">
        <f t="shared" si="6"/>
        <v>30/360</v>
      </c>
      <c r="E40" s="3">
        <f t="shared" si="7"/>
        <v>46022</v>
      </c>
      <c r="F40" s="3">
        <f t="shared" si="8"/>
        <v>48579</v>
      </c>
      <c r="G40" s="3">
        <f t="shared" si="9"/>
        <v>7</v>
      </c>
      <c r="H40" s="3">
        <f t="shared" si="10"/>
        <v>1</v>
      </c>
      <c r="I40" s="3">
        <f t="shared" si="11"/>
        <v>7</v>
      </c>
      <c r="J40" s="49">
        <v>0.04</v>
      </c>
      <c r="K40" s="45">
        <v>0.76059948373461683</v>
      </c>
      <c r="L40" s="49">
        <v>3.9092623178414457E-2</v>
      </c>
      <c r="M40" s="3">
        <f t="shared" si="12"/>
        <v>0</v>
      </c>
      <c r="N40" s="7" t="str">
        <f t="shared" si="13"/>
        <v>OK</v>
      </c>
    </row>
    <row r="41" spans="1:14" x14ac:dyDescent="0.3">
      <c r="A41" s="10" t="str">
        <f t="shared" si="3"/>
        <v>SWAP</v>
      </c>
      <c r="B41" s="17" t="str">
        <f t="shared" si="4"/>
        <v>10Y</v>
      </c>
      <c r="C41" s="17">
        <f t="shared" si="5"/>
        <v>3.95</v>
      </c>
      <c r="D41" s="17" t="str">
        <f t="shared" si="6"/>
        <v>30/360</v>
      </c>
      <c r="E41" s="17">
        <f t="shared" si="7"/>
        <v>46022</v>
      </c>
      <c r="F41" s="17">
        <f t="shared" si="8"/>
        <v>49674</v>
      </c>
      <c r="G41" s="17">
        <f t="shared" si="9"/>
        <v>10</v>
      </c>
      <c r="H41" s="17">
        <f t="shared" si="10"/>
        <v>1</v>
      </c>
      <c r="I41" s="17">
        <f t="shared" si="11"/>
        <v>10</v>
      </c>
      <c r="J41" s="50">
        <v>3.95E-2</v>
      </c>
      <c r="K41" s="47">
        <v>0.67677213176806106</v>
      </c>
      <c r="L41" s="50">
        <v>3.9042064800352827E-2</v>
      </c>
      <c r="M41" s="17">
        <f t="shared" si="12"/>
        <v>-1.1102230246251565E-16</v>
      </c>
      <c r="N41" s="11" t="str">
        <f t="shared" si="13"/>
        <v>OK</v>
      </c>
    </row>
    <row r="42" spans="1:14" x14ac:dyDescent="0.3">
      <c r="J42" s="48"/>
      <c r="K42" s="43"/>
      <c r="L42" s="48"/>
    </row>
    <row r="43" spans="1:14" x14ac:dyDescent="0.3">
      <c r="J43" s="48"/>
      <c r="K43" s="43"/>
      <c r="L43" s="48"/>
    </row>
    <row r="44" spans="1:14" x14ac:dyDescent="0.3">
      <c r="J44" s="48"/>
      <c r="K44" s="43"/>
      <c r="L44" s="48"/>
    </row>
    <row r="45" spans="1:14" x14ac:dyDescent="0.3">
      <c r="J45" s="48"/>
      <c r="K45" s="43"/>
      <c r="L45" s="48"/>
    </row>
    <row r="46" spans="1:14" x14ac:dyDescent="0.3">
      <c r="J46" s="48"/>
      <c r="K46" s="43"/>
      <c r="L46" s="48"/>
    </row>
    <row r="47" spans="1:14" x14ac:dyDescent="0.3">
      <c r="J47" s="48"/>
      <c r="K47" s="43"/>
      <c r="L47" s="48"/>
    </row>
    <row r="48" spans="1:14" x14ac:dyDescent="0.3">
      <c r="J48" s="48"/>
      <c r="K48" s="43"/>
      <c r="L48" s="48"/>
    </row>
    <row r="49" spans="10:12" x14ac:dyDescent="0.3">
      <c r="J49" s="48"/>
      <c r="K49" s="43"/>
      <c r="L49" s="48"/>
    </row>
    <row r="50" spans="10:12" x14ac:dyDescent="0.3">
      <c r="J50" s="48"/>
      <c r="K50" s="43"/>
      <c r="L50" s="48"/>
    </row>
    <row r="51" spans="10:12" x14ac:dyDescent="0.3">
      <c r="J51" s="48"/>
      <c r="K51" s="43"/>
      <c r="L51" s="48"/>
    </row>
    <row r="52" spans="10:12" x14ac:dyDescent="0.3">
      <c r="J52" s="48"/>
      <c r="K52" s="43"/>
      <c r="L52" s="48"/>
    </row>
    <row r="53" spans="10:12" x14ac:dyDescent="0.3">
      <c r="J53" s="48"/>
      <c r="K53" s="43"/>
      <c r="L53" s="48"/>
    </row>
    <row r="54" spans="10:12" x14ac:dyDescent="0.3">
      <c r="J54" s="48"/>
      <c r="K54" s="43"/>
      <c r="L54" s="48"/>
    </row>
    <row r="55" spans="10:12" x14ac:dyDescent="0.3">
      <c r="J55" s="48"/>
      <c r="K55" s="43"/>
      <c r="L55" s="48"/>
    </row>
    <row r="56" spans="10:12" x14ac:dyDescent="0.3">
      <c r="J56" s="48"/>
      <c r="K56" s="43"/>
      <c r="L56" s="48"/>
    </row>
    <row r="57" spans="10:12" x14ac:dyDescent="0.3">
      <c r="J57" s="48"/>
      <c r="K57" s="43"/>
      <c r="L57" s="48"/>
    </row>
    <row r="58" spans="10:12" x14ac:dyDescent="0.3">
      <c r="J58" s="48"/>
      <c r="K58" s="43"/>
      <c r="L58" s="48"/>
    </row>
    <row r="59" spans="10:12" x14ac:dyDescent="0.3">
      <c r="J59" s="48"/>
      <c r="K59" s="43"/>
      <c r="L59" s="48"/>
    </row>
    <row r="60" spans="10:12" x14ac:dyDescent="0.3">
      <c r="J60" s="48"/>
      <c r="K60" s="43"/>
      <c r="L60" s="48"/>
    </row>
    <row r="61" spans="10:12" x14ac:dyDescent="0.3">
      <c r="J61" s="48"/>
      <c r="K61" s="43"/>
      <c r="L61" s="48"/>
    </row>
    <row r="62" spans="10:12" x14ac:dyDescent="0.3">
      <c r="J62" s="48"/>
      <c r="K62" s="43"/>
      <c r="L62" s="48"/>
    </row>
    <row r="63" spans="10:12" x14ac:dyDescent="0.3">
      <c r="J63" s="48"/>
      <c r="K63" s="43"/>
      <c r="L63" s="48"/>
    </row>
    <row r="64" spans="10:12" x14ac:dyDescent="0.3">
      <c r="J64" s="48"/>
      <c r="K64" s="43"/>
      <c r="L64" s="48"/>
    </row>
    <row r="65" spans="10:12" x14ac:dyDescent="0.3">
      <c r="J65" s="48"/>
      <c r="K65" s="43"/>
      <c r="L65" s="48"/>
    </row>
    <row r="66" spans="10:12" x14ac:dyDescent="0.3">
      <c r="J66" s="48"/>
      <c r="K66" s="43"/>
      <c r="L66" s="48"/>
    </row>
    <row r="67" spans="10:12" x14ac:dyDescent="0.3">
      <c r="J67" s="48"/>
      <c r="K67" s="43"/>
      <c r="L67" s="48"/>
    </row>
    <row r="68" spans="10:12" x14ac:dyDescent="0.3">
      <c r="J68" s="48"/>
      <c r="K68" s="43"/>
      <c r="L68" s="48"/>
    </row>
    <row r="69" spans="10:12" x14ac:dyDescent="0.3">
      <c r="J69" s="48"/>
      <c r="K69" s="43"/>
      <c r="L69" s="48"/>
    </row>
    <row r="70" spans="10:12" x14ac:dyDescent="0.3">
      <c r="J70" s="48"/>
      <c r="K70" s="43"/>
      <c r="L70" s="48"/>
    </row>
    <row r="71" spans="10:12" x14ac:dyDescent="0.3">
      <c r="J71" s="48"/>
      <c r="K71" s="43"/>
      <c r="L71" s="48"/>
    </row>
    <row r="72" spans="10:12" x14ac:dyDescent="0.3">
      <c r="J72" s="48"/>
      <c r="K72" s="43"/>
      <c r="L72" s="48"/>
    </row>
    <row r="73" spans="10:12" x14ac:dyDescent="0.3">
      <c r="J73" s="48"/>
      <c r="K73" s="43"/>
      <c r="L73" s="48"/>
    </row>
    <row r="74" spans="10:12" x14ac:dyDescent="0.3">
      <c r="J74" s="48"/>
      <c r="K74" s="43"/>
      <c r="L74" s="48"/>
    </row>
    <row r="75" spans="10:12" x14ac:dyDescent="0.3">
      <c r="J75" s="48"/>
      <c r="K75" s="43"/>
      <c r="L75" s="48"/>
    </row>
    <row r="76" spans="10:12" x14ac:dyDescent="0.3">
      <c r="J76" s="48"/>
      <c r="K76" s="43"/>
      <c r="L76" s="48"/>
    </row>
    <row r="77" spans="10:12" x14ac:dyDescent="0.3">
      <c r="J77" s="48"/>
      <c r="K77" s="43"/>
      <c r="L77" s="48"/>
    </row>
    <row r="78" spans="10:12" x14ac:dyDescent="0.3">
      <c r="J78" s="48"/>
      <c r="K78" s="43"/>
      <c r="L78" s="48"/>
    </row>
    <row r="79" spans="10:12" x14ac:dyDescent="0.3">
      <c r="J79" s="48"/>
      <c r="K79" s="43"/>
      <c r="L79" s="48"/>
    </row>
    <row r="80" spans="10:12" x14ac:dyDescent="0.3">
      <c r="J80" s="48"/>
      <c r="K80" s="43"/>
      <c r="L80" s="48"/>
    </row>
    <row r="81" spans="10:12" x14ac:dyDescent="0.3">
      <c r="J81" s="48"/>
      <c r="K81" s="43"/>
      <c r="L81" s="48"/>
    </row>
    <row r="82" spans="10:12" x14ac:dyDescent="0.3">
      <c r="J82" s="48"/>
      <c r="K82" s="43"/>
      <c r="L82" s="48"/>
    </row>
    <row r="83" spans="10:12" x14ac:dyDescent="0.3">
      <c r="J83" s="48"/>
      <c r="K83" s="43"/>
      <c r="L83" s="48"/>
    </row>
    <row r="84" spans="10:12" x14ac:dyDescent="0.3">
      <c r="J84" s="48"/>
      <c r="K84" s="43"/>
      <c r="L84" s="48"/>
    </row>
    <row r="85" spans="10:12" x14ac:dyDescent="0.3">
      <c r="J85" s="48"/>
      <c r="K85" s="43"/>
      <c r="L85" s="48"/>
    </row>
    <row r="86" spans="10:12" x14ac:dyDescent="0.3">
      <c r="J86" s="48"/>
      <c r="K86" s="43"/>
      <c r="L86" s="48"/>
    </row>
    <row r="87" spans="10:12" x14ac:dyDescent="0.3">
      <c r="J87" s="48"/>
      <c r="K87" s="43"/>
      <c r="L87" s="48"/>
    </row>
    <row r="88" spans="10:12" x14ac:dyDescent="0.3">
      <c r="J88" s="48"/>
      <c r="K88" s="43"/>
      <c r="L88" s="48"/>
    </row>
    <row r="89" spans="10:12" x14ac:dyDescent="0.3">
      <c r="J89" s="48"/>
      <c r="K89" s="43"/>
      <c r="L89" s="48"/>
    </row>
    <row r="90" spans="10:12" x14ac:dyDescent="0.3">
      <c r="J90" s="48"/>
      <c r="K90" s="43"/>
      <c r="L90" s="48"/>
    </row>
    <row r="91" spans="10:12" x14ac:dyDescent="0.3">
      <c r="J91" s="48"/>
      <c r="K91" s="43"/>
      <c r="L91" s="48"/>
    </row>
    <row r="92" spans="10:12" x14ac:dyDescent="0.3">
      <c r="J92" s="48"/>
      <c r="K92" s="43"/>
      <c r="L92" s="48"/>
    </row>
    <row r="93" spans="10:12" x14ac:dyDescent="0.3">
      <c r="J93" s="48"/>
      <c r="K93" s="43"/>
      <c r="L93" s="48"/>
    </row>
    <row r="94" spans="10:12" x14ac:dyDescent="0.3">
      <c r="J94" s="48"/>
      <c r="K94" s="43"/>
      <c r="L94" s="48"/>
    </row>
    <row r="95" spans="10:12" x14ac:dyDescent="0.3">
      <c r="J95" s="48"/>
      <c r="K95" s="43"/>
      <c r="L95" s="48"/>
    </row>
    <row r="96" spans="10:12" x14ac:dyDescent="0.3">
      <c r="J96" s="48"/>
      <c r="K96" s="43"/>
      <c r="L96" s="48"/>
    </row>
    <row r="97" spans="10:12" x14ac:dyDescent="0.3">
      <c r="J97" s="48"/>
      <c r="K97" s="43"/>
      <c r="L97" s="48"/>
    </row>
    <row r="98" spans="10:12" x14ac:dyDescent="0.3">
      <c r="J98" s="48"/>
      <c r="K98" s="43"/>
      <c r="L98" s="48"/>
    </row>
    <row r="99" spans="10:12" x14ac:dyDescent="0.3">
      <c r="J99" s="48"/>
      <c r="K99" s="43"/>
      <c r="L99" s="48"/>
    </row>
    <row r="100" spans="10:12" x14ac:dyDescent="0.3">
      <c r="J100" s="48"/>
      <c r="K100" s="43"/>
      <c r="L100" s="48"/>
    </row>
    <row r="101" spans="10:12" x14ac:dyDescent="0.3">
      <c r="J101" s="48"/>
      <c r="K101" s="43"/>
      <c r="L101" s="48"/>
    </row>
    <row r="102" spans="10:12" x14ac:dyDescent="0.3">
      <c r="J102" s="48"/>
      <c r="K102" s="43"/>
      <c r="L102" s="48"/>
    </row>
    <row r="103" spans="10:12" x14ac:dyDescent="0.3">
      <c r="J103" s="48"/>
      <c r="K103" s="43"/>
      <c r="L103" s="48"/>
    </row>
    <row r="104" spans="10:12" x14ac:dyDescent="0.3">
      <c r="J104" s="48"/>
      <c r="K104" s="43"/>
      <c r="L104" s="48"/>
    </row>
    <row r="105" spans="10:12" x14ac:dyDescent="0.3">
      <c r="J105" s="48"/>
      <c r="K105" s="43"/>
      <c r="L105" s="48"/>
    </row>
    <row r="106" spans="10:12" x14ac:dyDescent="0.3">
      <c r="J106" s="48"/>
      <c r="K106" s="43"/>
      <c r="L106" s="48"/>
    </row>
    <row r="107" spans="10:12" x14ac:dyDescent="0.3">
      <c r="J107" s="48"/>
      <c r="K107" s="43"/>
      <c r="L107" s="48"/>
    </row>
    <row r="108" spans="10:12" x14ac:dyDescent="0.3">
      <c r="J108" s="48"/>
      <c r="K108" s="43"/>
      <c r="L108" s="48"/>
    </row>
    <row r="109" spans="10:12" x14ac:dyDescent="0.3">
      <c r="J109" s="48"/>
      <c r="K109" s="43"/>
      <c r="L109" s="48"/>
    </row>
    <row r="110" spans="10:12" x14ac:dyDescent="0.3">
      <c r="J110" s="48"/>
      <c r="K110" s="43"/>
      <c r="L110" s="48"/>
    </row>
    <row r="111" spans="10:12" x14ac:dyDescent="0.3">
      <c r="J111" s="48"/>
      <c r="K111" s="43"/>
      <c r="L111" s="48"/>
    </row>
    <row r="112" spans="10:12" x14ac:dyDescent="0.3">
      <c r="J112" s="48"/>
      <c r="K112" s="43"/>
      <c r="L112" s="48"/>
    </row>
    <row r="113" spans="10:12" x14ac:dyDescent="0.3">
      <c r="J113" s="48"/>
      <c r="K113" s="43"/>
      <c r="L113" s="48"/>
    </row>
    <row r="114" spans="10:12" x14ac:dyDescent="0.3">
      <c r="J114" s="48"/>
      <c r="K114" s="43"/>
      <c r="L114" s="48"/>
    </row>
    <row r="115" spans="10:12" x14ac:dyDescent="0.3">
      <c r="J115" s="48"/>
      <c r="K115" s="43"/>
      <c r="L115" s="48"/>
    </row>
    <row r="116" spans="10:12" x14ac:dyDescent="0.3">
      <c r="J116" s="48"/>
      <c r="K116" s="43"/>
      <c r="L116" s="48"/>
    </row>
    <row r="117" spans="10:12" x14ac:dyDescent="0.3">
      <c r="J117" s="48"/>
      <c r="K117" s="43"/>
      <c r="L117" s="48"/>
    </row>
    <row r="118" spans="10:12" x14ac:dyDescent="0.3">
      <c r="J118" s="48"/>
      <c r="K118" s="43"/>
      <c r="L118" s="48"/>
    </row>
    <row r="119" spans="10:12" x14ac:dyDescent="0.3">
      <c r="J119" s="48"/>
      <c r="K119" s="43"/>
      <c r="L119" s="48"/>
    </row>
    <row r="120" spans="10:12" x14ac:dyDescent="0.3">
      <c r="J120" s="48"/>
      <c r="K120" s="43"/>
      <c r="L120" s="48"/>
    </row>
    <row r="121" spans="10:12" x14ac:dyDescent="0.3">
      <c r="J121" s="48"/>
      <c r="K121" s="43"/>
      <c r="L121" s="48"/>
    </row>
    <row r="122" spans="10:12" x14ac:dyDescent="0.3">
      <c r="J122" s="48"/>
      <c r="K122" s="43"/>
      <c r="L122" s="48"/>
    </row>
    <row r="123" spans="10:12" x14ac:dyDescent="0.3">
      <c r="J123" s="48"/>
      <c r="K123" s="43"/>
      <c r="L123" s="48"/>
    </row>
    <row r="124" spans="10:12" x14ac:dyDescent="0.3">
      <c r="J124" s="48"/>
      <c r="K124" s="43"/>
      <c r="L124" s="48"/>
    </row>
    <row r="125" spans="10:12" x14ac:dyDescent="0.3">
      <c r="J125" s="48"/>
      <c r="K125" s="43"/>
      <c r="L125" s="48"/>
    </row>
    <row r="126" spans="10:12" x14ac:dyDescent="0.3">
      <c r="J126" s="48"/>
      <c r="K126" s="43"/>
      <c r="L126" s="48"/>
    </row>
    <row r="127" spans="10:12" x14ac:dyDescent="0.3">
      <c r="J127" s="48"/>
      <c r="K127" s="43"/>
      <c r="L127" s="48"/>
    </row>
    <row r="128" spans="10:12" x14ac:dyDescent="0.3">
      <c r="J128" s="48"/>
      <c r="K128" s="43"/>
      <c r="L128" s="48"/>
    </row>
    <row r="129" spans="10:12" x14ac:dyDescent="0.3">
      <c r="J129" s="48"/>
      <c r="K129" s="43"/>
      <c r="L129" s="48"/>
    </row>
    <row r="130" spans="10:12" x14ac:dyDescent="0.3">
      <c r="J130" s="48"/>
      <c r="K130" s="43"/>
      <c r="L130" s="48"/>
    </row>
    <row r="131" spans="10:12" x14ac:dyDescent="0.3">
      <c r="J131" s="48"/>
      <c r="K131" s="43"/>
      <c r="L131" s="48"/>
    </row>
    <row r="132" spans="10:12" x14ac:dyDescent="0.3">
      <c r="J132" s="48"/>
      <c r="K132" s="43"/>
      <c r="L132" s="48"/>
    </row>
    <row r="133" spans="10:12" x14ac:dyDescent="0.3">
      <c r="J133" s="48"/>
      <c r="K133" s="43"/>
      <c r="L133" s="48"/>
    </row>
    <row r="134" spans="10:12" x14ac:dyDescent="0.3">
      <c r="J134" s="48"/>
      <c r="K134" s="43"/>
      <c r="L134" s="48"/>
    </row>
    <row r="135" spans="10:12" x14ac:dyDescent="0.3">
      <c r="J135" s="48"/>
      <c r="K135" s="43"/>
      <c r="L135" s="48"/>
    </row>
    <row r="136" spans="10:12" x14ac:dyDescent="0.3">
      <c r="J136" s="48"/>
      <c r="K136" s="43"/>
      <c r="L136" s="48"/>
    </row>
    <row r="137" spans="10:12" x14ac:dyDescent="0.3">
      <c r="J137" s="48"/>
      <c r="K137" s="43"/>
      <c r="L137" s="48"/>
    </row>
    <row r="138" spans="10:12" x14ac:dyDescent="0.3">
      <c r="J138" s="48"/>
      <c r="K138" s="43"/>
      <c r="L138" s="48"/>
    </row>
    <row r="139" spans="10:12" x14ac:dyDescent="0.3">
      <c r="J139" s="48"/>
      <c r="K139" s="43"/>
      <c r="L139" s="48"/>
    </row>
    <row r="140" spans="10:12" x14ac:dyDescent="0.3">
      <c r="J140" s="48"/>
      <c r="K140" s="43"/>
      <c r="L140" s="48"/>
    </row>
    <row r="141" spans="10:12" x14ac:dyDescent="0.3">
      <c r="J141" s="48"/>
      <c r="K141" s="43"/>
      <c r="L141" s="48"/>
    </row>
    <row r="142" spans="10:12" x14ac:dyDescent="0.3">
      <c r="J142" s="48"/>
      <c r="K142" s="43"/>
      <c r="L142" s="48"/>
    </row>
    <row r="143" spans="10:12" x14ac:dyDescent="0.3">
      <c r="J143" s="48"/>
      <c r="K143" s="43"/>
      <c r="L143" s="48"/>
    </row>
    <row r="144" spans="10:12" x14ac:dyDescent="0.3">
      <c r="J144" s="48"/>
      <c r="K144" s="43"/>
      <c r="L144" s="48"/>
    </row>
    <row r="145" spans="10:12" x14ac:dyDescent="0.3">
      <c r="J145" s="48"/>
      <c r="K145" s="43"/>
      <c r="L145" s="48"/>
    </row>
    <row r="146" spans="10:12" x14ac:dyDescent="0.3">
      <c r="J146" s="48"/>
      <c r="K146" s="43"/>
      <c r="L146" s="48"/>
    </row>
    <row r="147" spans="10:12" x14ac:dyDescent="0.3">
      <c r="J147" s="48"/>
      <c r="K147" s="43"/>
      <c r="L147" s="48"/>
    </row>
    <row r="148" spans="10:12" x14ac:dyDescent="0.3">
      <c r="J148" s="48"/>
      <c r="K148" s="43"/>
      <c r="L148" s="48"/>
    </row>
    <row r="149" spans="10:12" x14ac:dyDescent="0.3">
      <c r="J149" s="48"/>
      <c r="K149" s="43"/>
      <c r="L149" s="48"/>
    </row>
    <row r="150" spans="10:12" x14ac:dyDescent="0.3">
      <c r="J150" s="48"/>
      <c r="K150" s="43"/>
      <c r="L150" s="48"/>
    </row>
    <row r="151" spans="10:12" x14ac:dyDescent="0.3">
      <c r="J151" s="48"/>
      <c r="K151" s="43"/>
      <c r="L151" s="48"/>
    </row>
    <row r="152" spans="10:12" x14ac:dyDescent="0.3">
      <c r="J152" s="48"/>
      <c r="K152" s="43"/>
      <c r="L152" s="48"/>
    </row>
    <row r="153" spans="10:12" x14ac:dyDescent="0.3">
      <c r="J153" s="48"/>
      <c r="K153" s="43"/>
      <c r="L153" s="48"/>
    </row>
    <row r="154" spans="10:12" x14ac:dyDescent="0.3">
      <c r="J154" s="48"/>
      <c r="K154" s="43"/>
      <c r="L154" s="48"/>
    </row>
    <row r="155" spans="10:12" x14ac:dyDescent="0.3">
      <c r="J155" s="48"/>
      <c r="K155" s="43"/>
      <c r="L155" s="48"/>
    </row>
    <row r="156" spans="10:12" x14ac:dyDescent="0.3">
      <c r="J156" s="48"/>
      <c r="K156" s="43"/>
      <c r="L156" s="48"/>
    </row>
    <row r="157" spans="10:12" x14ac:dyDescent="0.3">
      <c r="J157" s="48"/>
      <c r="K157" s="43"/>
      <c r="L157" s="48"/>
    </row>
    <row r="158" spans="10:12" x14ac:dyDescent="0.3">
      <c r="J158" s="48"/>
      <c r="K158" s="43"/>
      <c r="L158" s="48"/>
    </row>
    <row r="159" spans="10:12" x14ac:dyDescent="0.3">
      <c r="J159" s="48"/>
      <c r="K159" s="43"/>
      <c r="L159" s="48"/>
    </row>
    <row r="160" spans="10:12" x14ac:dyDescent="0.3">
      <c r="J160" s="48"/>
      <c r="K160" s="43"/>
      <c r="L160" s="48"/>
    </row>
    <row r="161" spans="10:12" x14ac:dyDescent="0.3">
      <c r="J161" s="48"/>
      <c r="K161" s="43"/>
      <c r="L161" s="48"/>
    </row>
    <row r="162" spans="10:12" x14ac:dyDescent="0.3">
      <c r="J162" s="48"/>
      <c r="K162" s="43"/>
      <c r="L162" s="48"/>
    </row>
    <row r="163" spans="10:12" x14ac:dyDescent="0.3">
      <c r="J163" s="48"/>
      <c r="K163" s="43"/>
      <c r="L163" s="48"/>
    </row>
    <row r="164" spans="10:12" x14ac:dyDescent="0.3">
      <c r="J164" s="48"/>
      <c r="K164" s="43"/>
      <c r="L164" s="48"/>
    </row>
    <row r="165" spans="10:12" x14ac:dyDescent="0.3">
      <c r="J165" s="48"/>
      <c r="K165" s="43"/>
      <c r="L165" s="48"/>
    </row>
    <row r="166" spans="10:12" x14ac:dyDescent="0.3">
      <c r="J166" s="48"/>
      <c r="K166" s="43"/>
      <c r="L166" s="48"/>
    </row>
    <row r="167" spans="10:12" x14ac:dyDescent="0.3">
      <c r="J167" s="48"/>
      <c r="K167" s="43"/>
      <c r="L167" s="48"/>
    </row>
    <row r="168" spans="10:12" x14ac:dyDescent="0.3">
      <c r="J168" s="48"/>
      <c r="K168" s="43"/>
      <c r="L168" s="48"/>
    </row>
    <row r="169" spans="10:12" x14ac:dyDescent="0.3">
      <c r="J169" s="48"/>
      <c r="K169" s="43"/>
      <c r="L169" s="48"/>
    </row>
    <row r="170" spans="10:12" x14ac:dyDescent="0.3">
      <c r="J170" s="48"/>
      <c r="K170" s="43"/>
      <c r="L170" s="48"/>
    </row>
    <row r="171" spans="10:12" x14ac:dyDescent="0.3">
      <c r="J171" s="48"/>
      <c r="K171" s="43"/>
      <c r="L171" s="48"/>
    </row>
    <row r="172" spans="10:12" x14ac:dyDescent="0.3">
      <c r="J172" s="48"/>
      <c r="K172" s="43"/>
      <c r="L172" s="48"/>
    </row>
    <row r="173" spans="10:12" x14ac:dyDescent="0.3">
      <c r="J173" s="48"/>
      <c r="K173" s="43"/>
      <c r="L173" s="48"/>
    </row>
    <row r="174" spans="10:12" x14ac:dyDescent="0.3">
      <c r="J174" s="48"/>
      <c r="K174" s="43"/>
      <c r="L174" s="48"/>
    </row>
    <row r="175" spans="10:12" x14ac:dyDescent="0.3">
      <c r="J175" s="48"/>
      <c r="K175" s="43"/>
      <c r="L175" s="48"/>
    </row>
    <row r="176" spans="10:12" x14ac:dyDescent="0.3">
      <c r="J176" s="48"/>
      <c r="K176" s="43"/>
      <c r="L176" s="48"/>
    </row>
    <row r="177" spans="10:12" x14ac:dyDescent="0.3">
      <c r="J177" s="48"/>
      <c r="K177" s="43"/>
      <c r="L177" s="48"/>
    </row>
    <row r="178" spans="10:12" x14ac:dyDescent="0.3">
      <c r="J178" s="48"/>
      <c r="K178" s="43"/>
      <c r="L178" s="48"/>
    </row>
    <row r="179" spans="10:12" x14ac:dyDescent="0.3">
      <c r="J179" s="48"/>
      <c r="K179" s="43"/>
      <c r="L179" s="48"/>
    </row>
    <row r="180" spans="10:12" x14ac:dyDescent="0.3">
      <c r="J180" s="48"/>
      <c r="K180" s="43"/>
      <c r="L180" s="48"/>
    </row>
    <row r="181" spans="10:12" x14ac:dyDescent="0.3">
      <c r="J181" s="48"/>
      <c r="K181" s="43"/>
      <c r="L181" s="48"/>
    </row>
    <row r="182" spans="10:12" x14ac:dyDescent="0.3">
      <c r="J182" s="48"/>
      <c r="K182" s="43"/>
      <c r="L182" s="48"/>
    </row>
    <row r="183" spans="10:12" x14ac:dyDescent="0.3">
      <c r="J183" s="48"/>
      <c r="K183" s="43"/>
      <c r="L183" s="48"/>
    </row>
    <row r="184" spans="10:12" x14ac:dyDescent="0.3">
      <c r="J184" s="48"/>
      <c r="K184" s="43"/>
      <c r="L184" s="48"/>
    </row>
    <row r="185" spans="10:12" x14ac:dyDescent="0.3">
      <c r="J185" s="48"/>
      <c r="K185" s="43"/>
      <c r="L185" s="48"/>
    </row>
    <row r="186" spans="10:12" x14ac:dyDescent="0.3">
      <c r="J186" s="48"/>
      <c r="K186" s="43"/>
      <c r="L186" s="48"/>
    </row>
    <row r="187" spans="10:12" x14ac:dyDescent="0.3">
      <c r="J187" s="48"/>
      <c r="K187" s="43"/>
      <c r="L187" s="48"/>
    </row>
    <row r="188" spans="10:12" x14ac:dyDescent="0.3">
      <c r="J188" s="48"/>
      <c r="K188" s="43"/>
      <c r="L188" s="48"/>
    </row>
    <row r="189" spans="10:12" x14ac:dyDescent="0.3">
      <c r="J189" s="48"/>
      <c r="K189" s="43"/>
      <c r="L189" s="48"/>
    </row>
    <row r="190" spans="10:12" x14ac:dyDescent="0.3">
      <c r="J190" s="48"/>
      <c r="K190" s="43"/>
      <c r="L190" s="48"/>
    </row>
    <row r="191" spans="10:12" x14ac:dyDescent="0.3">
      <c r="J191" s="48"/>
      <c r="K191" s="43"/>
      <c r="L191" s="48"/>
    </row>
    <row r="192" spans="10:12" x14ac:dyDescent="0.3">
      <c r="J192" s="48"/>
      <c r="K192" s="43"/>
      <c r="L192" s="48"/>
    </row>
    <row r="193" spans="10:12" x14ac:dyDescent="0.3">
      <c r="J193" s="48"/>
      <c r="K193" s="43"/>
      <c r="L193" s="48"/>
    </row>
    <row r="194" spans="10:12" x14ac:dyDescent="0.3">
      <c r="J194" s="48"/>
      <c r="K194" s="43"/>
      <c r="L194" s="48"/>
    </row>
    <row r="195" spans="10:12" x14ac:dyDescent="0.3">
      <c r="J195" s="48"/>
      <c r="K195" s="43"/>
      <c r="L195" s="48"/>
    </row>
    <row r="196" spans="10:12" x14ac:dyDescent="0.3">
      <c r="J196" s="48"/>
      <c r="K196" s="43"/>
      <c r="L196" s="48"/>
    </row>
    <row r="197" spans="10:12" x14ac:dyDescent="0.3">
      <c r="J197" s="48"/>
      <c r="K197" s="43"/>
      <c r="L197" s="48"/>
    </row>
    <row r="198" spans="10:12" x14ac:dyDescent="0.3">
      <c r="J198" s="48"/>
      <c r="K198" s="43"/>
      <c r="L198" s="48"/>
    </row>
    <row r="199" spans="10:12" x14ac:dyDescent="0.3">
      <c r="J199" s="48"/>
      <c r="K199" s="43"/>
      <c r="L199" s="48"/>
    </row>
    <row r="200" spans="10:12" x14ac:dyDescent="0.3">
      <c r="J200" s="48"/>
      <c r="K200" s="43"/>
      <c r="L200" s="48"/>
    </row>
  </sheetData>
  <mergeCells count="5">
    <mergeCell ref="B3:D3"/>
    <mergeCell ref="B4:D4"/>
    <mergeCell ref="A1:L1"/>
    <mergeCell ref="A24:L24"/>
    <mergeCell ref="A23:L23"/>
  </mergeCells>
  <phoneticPr fontId="4" type="noConversion"/>
  <pageMargins left="0.7" right="0.7" top="0.75" bottom="0.75" header="0.3" footer="0.3"/>
  <pageSetup paperSize="9" orientation="portrait" horizontalDpi="360" verticalDpi="360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Hanna Gerguis</dc:creator>
  <cp:lastModifiedBy>Matthieu Hanna Gerguis</cp:lastModifiedBy>
  <dcterms:created xsi:type="dcterms:W3CDTF">2025-12-31T17:59:30Z</dcterms:created>
  <dcterms:modified xsi:type="dcterms:W3CDTF">2025-12-31T21:37:25Z</dcterms:modified>
</cp:coreProperties>
</file>